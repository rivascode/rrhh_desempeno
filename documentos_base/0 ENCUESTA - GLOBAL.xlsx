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RRHH - DACHA\11 - CLIMA LABORAL\CLIMA MARZO 2025\"/>
    </mc:Choice>
  </mc:AlternateContent>
  <xr:revisionPtr revIDLastSave="0" documentId="13_ncr:1_{B36695D1-7AEA-4317-A200-EEB2A8883F01}" xr6:coauthVersionLast="47" xr6:coauthVersionMax="47" xr10:uidLastSave="{00000000-0000-0000-0000-000000000000}"/>
  <bookViews>
    <workbookView xWindow="20370" yWindow="-120" windowWidth="29040" windowHeight="15840" firstSheet="4" activeTab="9" xr2:uid="{00000000-000D-0000-FFFF-FFFF00000000}"/>
  </bookViews>
  <sheets>
    <sheet name="ESTRUCTURA" sheetId="1" r:id="rId1"/>
    <sheet name="RESPUESTAS" sheetId="2" r:id="rId2"/>
    <sheet name="RESULTADOS 1" sheetId="3" r:id="rId3"/>
    <sheet name="RESULTADOS 2" sheetId="4" r:id="rId4"/>
    <sheet name="COMPARATIVO" sheetId="5" r:id="rId5"/>
    <sheet name="P. ABIERTAS" sheetId="6" r:id="rId6"/>
    <sheet name="LISTADO DE FRECUENCIAS &amp; %" sheetId="7" r:id="rId7"/>
    <sheet name="RESULTADOS PREG ABIERTAS" sheetId="10" r:id="rId8"/>
    <sheet name="RPTAS GLOBALES SEDES" sheetId="11" r:id="rId9"/>
    <sheet name="Hoja1" sheetId="12" r:id="rId10"/>
  </sheets>
  <externalReferences>
    <externalReference r:id="rId11"/>
    <externalReference r:id="rId12"/>
    <externalReference r:id="rId13"/>
  </externalReferences>
  <definedNames>
    <definedName name="_xlnm._FilterDatabase" localSheetId="0" hidden="1">ESTRUCTURA!$A$4:$I$65</definedName>
    <definedName name="_xlnm._FilterDatabase" localSheetId="9" hidden="1">Hoja1!#REF!</definedName>
    <definedName name="_xlnm._FilterDatabase" localSheetId="1" hidden="1">RESPUESTAS!$A$6:$BG$136</definedName>
    <definedName name="_xlnm._FilterDatabase" localSheetId="7" hidden="1">'RESULTADOS PREG ABIERTAS'!$A$69:$D$82</definedName>
    <definedName name="DimenRpta" localSheetId="6">[1]RESPUESTAS!$C$317:$AU$317</definedName>
    <definedName name="DimenRpta" localSheetId="5">[1]RESPUESTAS!$C$317:$AU$317</definedName>
    <definedName name="DimenRpta" localSheetId="7">[2]RESPUESTAS!$C$317:$AU$317</definedName>
    <definedName name="DimenRpta">RESPUESTAS!$D$147:$AO$147</definedName>
    <definedName name="Dimensiones" localSheetId="6">[1]RESPUESTAS!$C$310:$AU$310</definedName>
    <definedName name="Dimensiones" localSheetId="5">[1]RESPUESTAS!$C$310:$AU$310</definedName>
    <definedName name="Dimensiones" localSheetId="7">[2]RESPUESTAS!$C$310:$AU$310</definedName>
    <definedName name="Dimensiones">RESPUESTAS!$D$140:$AO$140</definedName>
  </definedNames>
  <calcPr calcId="191029"/>
  <extLst>
    <ext uri="GoogleSheetsCustomDataVersion2">
      <go:sheetsCustomData xmlns:go="http://customooxmlschemas.google.com/" r:id="rId14" roundtripDataChecksum="wTkTq67DXNOUXwfoGbi0Uo7cvN+UbaZzJWA5BPtMM+Q="/>
    </ext>
  </extLst>
</workbook>
</file>

<file path=xl/calcChain.xml><?xml version="1.0" encoding="utf-8"?>
<calcChain xmlns="http://schemas.openxmlformats.org/spreadsheetml/2006/main">
  <c r="C30" i="12" l="1"/>
  <c r="D29" i="12" s="1"/>
  <c r="C18" i="12"/>
  <c r="D16" i="12" s="1"/>
  <c r="C7" i="12"/>
  <c r="D6" i="12"/>
  <c r="D5" i="12"/>
  <c r="D4" i="12"/>
  <c r="D3" i="12"/>
  <c r="D2" i="12"/>
  <c r="E2" i="12" s="1"/>
  <c r="D26" i="12" l="1"/>
  <c r="D27" i="12"/>
  <c r="D28" i="12"/>
  <c r="D17" i="12"/>
  <c r="D18" i="12" s="1"/>
  <c r="D7" i="12"/>
  <c r="E3" i="12"/>
  <c r="E4" i="12" s="1"/>
  <c r="E5" i="12" s="1"/>
  <c r="E6" i="12" s="1"/>
  <c r="D30" i="12" l="1"/>
  <c r="B7" i="11"/>
  <c r="D83" i="10" l="1"/>
  <c r="D80" i="10"/>
  <c r="D81" i="10"/>
  <c r="D79" i="10"/>
  <c r="D71" i="10"/>
  <c r="D72" i="10"/>
  <c r="D73" i="10"/>
  <c r="D74" i="10"/>
  <c r="D75" i="10"/>
  <c r="D76" i="10"/>
  <c r="D77" i="10"/>
  <c r="D78" i="10"/>
  <c r="D70" i="10"/>
  <c r="C83" i="10"/>
  <c r="C62" i="10"/>
  <c r="D61" i="10"/>
  <c r="D60" i="10"/>
  <c r="D59" i="10"/>
  <c r="D58" i="10"/>
  <c r="D57" i="10"/>
  <c r="D56" i="10"/>
  <c r="D55" i="10"/>
  <c r="D54" i="10"/>
  <c r="D53" i="10"/>
  <c r="D62" i="10" l="1"/>
  <c r="C45" i="10"/>
  <c r="D44" i="10"/>
  <c r="D43" i="10"/>
  <c r="D42" i="10"/>
  <c r="D41" i="10"/>
  <c r="D40" i="10"/>
  <c r="D39" i="10"/>
  <c r="D38" i="10"/>
  <c r="D37" i="10"/>
  <c r="D36" i="10"/>
  <c r="D35" i="10"/>
  <c r="D34" i="10"/>
  <c r="D33" i="10"/>
  <c r="D32" i="10"/>
  <c r="D31" i="10"/>
  <c r="D30" i="10"/>
  <c r="D29" i="10"/>
  <c r="D28" i="10"/>
  <c r="C17" i="10"/>
  <c r="C8" i="10"/>
  <c r="D45" i="10" l="1"/>
  <c r="D156" i="2" l="1"/>
  <c r="D151" i="2"/>
  <c r="AP174" i="2"/>
  <c r="AO174" i="2"/>
  <c r="T142" i="2" l="1"/>
  <c r="D144" i="2"/>
  <c r="D146" i="2"/>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411"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279"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7" i="6"/>
  <c r="L5" i="7" l="1"/>
  <c r="E9" i="3"/>
  <c r="L3" i="2"/>
  <c r="C18" i="4"/>
  <c r="C17" i="4"/>
  <c r="C16" i="4"/>
  <c r="C15" i="4"/>
  <c r="C14" i="4"/>
  <c r="C13" i="4"/>
  <c r="E9" i="4"/>
  <c r="E11" i="3"/>
  <c r="E10" i="3"/>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AU174" i="2"/>
  <c r="AT174" i="2"/>
  <c r="AS174" i="2"/>
  <c r="AR174" i="2"/>
  <c r="AQ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E168" i="2"/>
  <c r="I160" i="2"/>
  <c r="H160" i="2"/>
  <c r="G160" i="2"/>
  <c r="F160" i="2"/>
  <c r="E160" i="2"/>
  <c r="D160" i="2"/>
  <c r="I159" i="2"/>
  <c r="H159" i="2"/>
  <c r="G159" i="2"/>
  <c r="F159" i="2"/>
  <c r="E159" i="2"/>
  <c r="D159" i="2"/>
  <c r="I158" i="2"/>
  <c r="H158" i="2"/>
  <c r="G158" i="2"/>
  <c r="F158" i="2"/>
  <c r="E158" i="2"/>
  <c r="D158" i="2"/>
  <c r="I157" i="2"/>
  <c r="H157" i="2"/>
  <c r="G157" i="2"/>
  <c r="F157" i="2"/>
  <c r="E157" i="2"/>
  <c r="D157" i="2"/>
  <c r="I156" i="2"/>
  <c r="H156" i="2"/>
  <c r="G156" i="2"/>
  <c r="F156" i="2"/>
  <c r="E156" i="2"/>
  <c r="I155" i="2"/>
  <c r="H155" i="2"/>
  <c r="G155" i="2"/>
  <c r="F155" i="2"/>
  <c r="E155" i="2"/>
  <c r="D155" i="2"/>
  <c r="I154" i="2"/>
  <c r="H154" i="2"/>
  <c r="G154" i="2"/>
  <c r="F154" i="2"/>
  <c r="E154" i="2"/>
  <c r="D154" i="2"/>
  <c r="I153" i="2"/>
  <c r="H153" i="2"/>
  <c r="G153" i="2"/>
  <c r="F153" i="2"/>
  <c r="E153" i="2"/>
  <c r="D153" i="2"/>
  <c r="I152" i="2"/>
  <c r="H152" i="2"/>
  <c r="G152" i="2"/>
  <c r="F152" i="2"/>
  <c r="E152" i="2"/>
  <c r="D152" i="2"/>
  <c r="I151" i="2"/>
  <c r="H151" i="2"/>
  <c r="G151" i="2"/>
  <c r="F151" i="2"/>
  <c r="E151" i="2"/>
  <c r="AO146" i="2"/>
  <c r="L42" i="7" s="1"/>
  <c r="AN146" i="2"/>
  <c r="L41" i="7" s="1"/>
  <c r="AM146" i="2"/>
  <c r="L40" i="7" s="1"/>
  <c r="AL146" i="2"/>
  <c r="L39" i="7" s="1"/>
  <c r="AK146" i="2"/>
  <c r="L38" i="7" s="1"/>
  <c r="AJ146" i="2"/>
  <c r="L37" i="7" s="1"/>
  <c r="AI146" i="2"/>
  <c r="L36" i="7" s="1"/>
  <c r="AH146" i="2"/>
  <c r="L35" i="7" s="1"/>
  <c r="AG146" i="2"/>
  <c r="L34" i="7" s="1"/>
  <c r="AF146" i="2"/>
  <c r="L33" i="7" s="1"/>
  <c r="AE146" i="2"/>
  <c r="L32" i="7" s="1"/>
  <c r="AD146" i="2"/>
  <c r="L31" i="7" s="1"/>
  <c r="AC146" i="2"/>
  <c r="L30" i="7" s="1"/>
  <c r="AB146" i="2"/>
  <c r="L29" i="7" s="1"/>
  <c r="AA146" i="2"/>
  <c r="L28" i="7" s="1"/>
  <c r="Z146" i="2"/>
  <c r="L27" i="7" s="1"/>
  <c r="Y146" i="2"/>
  <c r="L26" i="7" s="1"/>
  <c r="X146" i="2"/>
  <c r="L25" i="7" s="1"/>
  <c r="W146" i="2"/>
  <c r="L24" i="7" s="1"/>
  <c r="V146" i="2"/>
  <c r="L23" i="7" s="1"/>
  <c r="U146" i="2"/>
  <c r="L22" i="7" s="1"/>
  <c r="T146" i="2"/>
  <c r="L21" i="7" s="1"/>
  <c r="S146" i="2"/>
  <c r="L20" i="7" s="1"/>
  <c r="R146" i="2"/>
  <c r="L19" i="7" s="1"/>
  <c r="Q146" i="2"/>
  <c r="L18" i="7" s="1"/>
  <c r="P146" i="2"/>
  <c r="L17" i="7" s="1"/>
  <c r="O146" i="2"/>
  <c r="L16" i="7" s="1"/>
  <c r="N146" i="2"/>
  <c r="L15" i="7" s="1"/>
  <c r="M146" i="2"/>
  <c r="L14" i="7" s="1"/>
  <c r="L146" i="2"/>
  <c r="L13" i="7" s="1"/>
  <c r="K146" i="2"/>
  <c r="L12" i="7" s="1"/>
  <c r="J146" i="2"/>
  <c r="L11" i="7" s="1"/>
  <c r="I146" i="2"/>
  <c r="L10" i="7" s="1"/>
  <c r="H146" i="2"/>
  <c r="L9" i="7" s="1"/>
  <c r="G146" i="2"/>
  <c r="L8" i="7" s="1"/>
  <c r="F146" i="2"/>
  <c r="L7" i="7" s="1"/>
  <c r="E146" i="2"/>
  <c r="L6" i="7" s="1"/>
  <c r="AO145" i="2"/>
  <c r="J42" i="7" s="1"/>
  <c r="AN145" i="2"/>
  <c r="J41" i="7" s="1"/>
  <c r="AM145" i="2"/>
  <c r="J40" i="7" s="1"/>
  <c r="AL145" i="2"/>
  <c r="J39" i="7" s="1"/>
  <c r="AK145" i="2"/>
  <c r="J38" i="7" s="1"/>
  <c r="AJ145" i="2"/>
  <c r="J37" i="7" s="1"/>
  <c r="AI145" i="2"/>
  <c r="J36" i="7" s="1"/>
  <c r="AH145" i="2"/>
  <c r="J35" i="7" s="1"/>
  <c r="AG145" i="2"/>
  <c r="J34" i="7" s="1"/>
  <c r="AF145" i="2"/>
  <c r="J33" i="7" s="1"/>
  <c r="AE145" i="2"/>
  <c r="J32" i="7" s="1"/>
  <c r="AD145" i="2"/>
  <c r="J31" i="7" s="1"/>
  <c r="AC145" i="2"/>
  <c r="J30" i="7" s="1"/>
  <c r="AB145" i="2"/>
  <c r="J29" i="7" s="1"/>
  <c r="AA145" i="2"/>
  <c r="J28" i="7" s="1"/>
  <c r="Z145" i="2"/>
  <c r="J27" i="7" s="1"/>
  <c r="Y145" i="2"/>
  <c r="J26" i="7" s="1"/>
  <c r="X145" i="2"/>
  <c r="J25" i="7" s="1"/>
  <c r="W145" i="2"/>
  <c r="J24" i="7" s="1"/>
  <c r="V145" i="2"/>
  <c r="J23" i="7" s="1"/>
  <c r="U145" i="2"/>
  <c r="J22" i="7" s="1"/>
  <c r="T145" i="2"/>
  <c r="J21" i="7" s="1"/>
  <c r="S145" i="2"/>
  <c r="J20" i="7" s="1"/>
  <c r="R145" i="2"/>
  <c r="J19" i="7" s="1"/>
  <c r="Q145" i="2"/>
  <c r="J18" i="7" s="1"/>
  <c r="P145" i="2"/>
  <c r="J17" i="7" s="1"/>
  <c r="O145" i="2"/>
  <c r="J16" i="7" s="1"/>
  <c r="N145" i="2"/>
  <c r="J15" i="7" s="1"/>
  <c r="M145" i="2"/>
  <c r="J14" i="7" s="1"/>
  <c r="L145" i="2"/>
  <c r="J13" i="7" s="1"/>
  <c r="K145" i="2"/>
  <c r="J12" i="7" s="1"/>
  <c r="J145" i="2"/>
  <c r="J11" i="7" s="1"/>
  <c r="I145" i="2"/>
  <c r="J10" i="7" s="1"/>
  <c r="H145" i="2"/>
  <c r="J9" i="7" s="1"/>
  <c r="G145" i="2"/>
  <c r="J8" i="7" s="1"/>
  <c r="F145" i="2"/>
  <c r="J7" i="7" s="1"/>
  <c r="E145" i="2"/>
  <c r="J6" i="7" s="1"/>
  <c r="D145" i="2"/>
  <c r="AO144" i="2"/>
  <c r="H42" i="7" s="1"/>
  <c r="AN144" i="2"/>
  <c r="H41" i="7" s="1"/>
  <c r="AM144" i="2"/>
  <c r="H40" i="7" s="1"/>
  <c r="AL144" i="2"/>
  <c r="H39" i="7" s="1"/>
  <c r="AK144" i="2"/>
  <c r="H38" i="7" s="1"/>
  <c r="AJ144" i="2"/>
  <c r="H37" i="7" s="1"/>
  <c r="AI144" i="2"/>
  <c r="H36" i="7" s="1"/>
  <c r="AH144" i="2"/>
  <c r="H35" i="7" s="1"/>
  <c r="AG144" i="2"/>
  <c r="H34" i="7" s="1"/>
  <c r="AF144" i="2"/>
  <c r="H33" i="7" s="1"/>
  <c r="AE144" i="2"/>
  <c r="H32" i="7" s="1"/>
  <c r="AD144" i="2"/>
  <c r="H31" i="7" s="1"/>
  <c r="AC144" i="2"/>
  <c r="H30" i="7" s="1"/>
  <c r="AB144" i="2"/>
  <c r="H29" i="7" s="1"/>
  <c r="AA144" i="2"/>
  <c r="H28" i="7" s="1"/>
  <c r="Z144" i="2"/>
  <c r="H27" i="7" s="1"/>
  <c r="Y144" i="2"/>
  <c r="H26" i="7" s="1"/>
  <c r="X144" i="2"/>
  <c r="H25" i="7" s="1"/>
  <c r="W144" i="2"/>
  <c r="H24" i="7" s="1"/>
  <c r="V144" i="2"/>
  <c r="H23" i="7" s="1"/>
  <c r="U144" i="2"/>
  <c r="H22" i="7" s="1"/>
  <c r="T144" i="2"/>
  <c r="H21" i="7" s="1"/>
  <c r="S144" i="2"/>
  <c r="H20" i="7" s="1"/>
  <c r="R144" i="2"/>
  <c r="H19" i="7" s="1"/>
  <c r="Q144" i="2"/>
  <c r="H18" i="7" s="1"/>
  <c r="P144" i="2"/>
  <c r="H17" i="7" s="1"/>
  <c r="O144" i="2"/>
  <c r="H16" i="7" s="1"/>
  <c r="N144" i="2"/>
  <c r="H15" i="7" s="1"/>
  <c r="M144" i="2"/>
  <c r="H14" i="7" s="1"/>
  <c r="L144" i="2"/>
  <c r="H13" i="7" s="1"/>
  <c r="K144" i="2"/>
  <c r="H12" i="7" s="1"/>
  <c r="J144" i="2"/>
  <c r="H11" i="7" s="1"/>
  <c r="I144" i="2"/>
  <c r="H10" i="7" s="1"/>
  <c r="H144" i="2"/>
  <c r="H9" i="7" s="1"/>
  <c r="G144" i="2"/>
  <c r="H8" i="7" s="1"/>
  <c r="F144" i="2"/>
  <c r="H7" i="7" s="1"/>
  <c r="E144" i="2"/>
  <c r="H6" i="7" s="1"/>
  <c r="H5" i="7"/>
  <c r="AO143" i="2"/>
  <c r="F42" i="7" s="1"/>
  <c r="AN143" i="2"/>
  <c r="F41" i="7" s="1"/>
  <c r="AM143" i="2"/>
  <c r="F40" i="7" s="1"/>
  <c r="AL143" i="2"/>
  <c r="F39" i="7" s="1"/>
  <c r="AK143" i="2"/>
  <c r="F38" i="7" s="1"/>
  <c r="AJ143" i="2"/>
  <c r="F37" i="7" s="1"/>
  <c r="AI143" i="2"/>
  <c r="F36" i="7" s="1"/>
  <c r="AH143" i="2"/>
  <c r="F35" i="7" s="1"/>
  <c r="AG143" i="2"/>
  <c r="F34" i="7" s="1"/>
  <c r="AF143" i="2"/>
  <c r="F33" i="7" s="1"/>
  <c r="AE143" i="2"/>
  <c r="F32" i="7" s="1"/>
  <c r="AD143" i="2"/>
  <c r="F31" i="7" s="1"/>
  <c r="AC143" i="2"/>
  <c r="F30" i="7" s="1"/>
  <c r="AB143" i="2"/>
  <c r="F29" i="7" s="1"/>
  <c r="AA143" i="2"/>
  <c r="F28" i="7" s="1"/>
  <c r="Z143" i="2"/>
  <c r="F27" i="7" s="1"/>
  <c r="Y143" i="2"/>
  <c r="F26" i="7" s="1"/>
  <c r="X143" i="2"/>
  <c r="F25" i="7" s="1"/>
  <c r="W143" i="2"/>
  <c r="F24" i="7" s="1"/>
  <c r="V143" i="2"/>
  <c r="F23" i="7" s="1"/>
  <c r="U143" i="2"/>
  <c r="F22" i="7" s="1"/>
  <c r="T143" i="2"/>
  <c r="F21" i="7" s="1"/>
  <c r="S143" i="2"/>
  <c r="F20" i="7" s="1"/>
  <c r="R143" i="2"/>
  <c r="F19" i="7" s="1"/>
  <c r="Q143" i="2"/>
  <c r="F18" i="7" s="1"/>
  <c r="P143" i="2"/>
  <c r="F17" i="7" s="1"/>
  <c r="O143" i="2"/>
  <c r="F16" i="7" s="1"/>
  <c r="N143" i="2"/>
  <c r="F15" i="7" s="1"/>
  <c r="M143" i="2"/>
  <c r="F14" i="7" s="1"/>
  <c r="L143" i="2"/>
  <c r="F13" i="7" s="1"/>
  <c r="K143" i="2"/>
  <c r="F12" i="7" s="1"/>
  <c r="J143" i="2"/>
  <c r="F11" i="7" s="1"/>
  <c r="I143" i="2"/>
  <c r="F10" i="7" s="1"/>
  <c r="H143" i="2"/>
  <c r="F9" i="7" s="1"/>
  <c r="G143" i="2"/>
  <c r="F8" i="7" s="1"/>
  <c r="F143" i="2"/>
  <c r="F7" i="7" s="1"/>
  <c r="E143" i="2"/>
  <c r="F6" i="7" s="1"/>
  <c r="D143" i="2"/>
  <c r="AO142" i="2"/>
  <c r="D42" i="7" s="1"/>
  <c r="AN142" i="2"/>
  <c r="D41" i="7" s="1"/>
  <c r="AM142" i="2"/>
  <c r="D40" i="7" s="1"/>
  <c r="AL142" i="2"/>
  <c r="D39" i="7" s="1"/>
  <c r="AK142" i="2"/>
  <c r="D38" i="7" s="1"/>
  <c r="AJ142" i="2"/>
  <c r="D37" i="7" s="1"/>
  <c r="AI142" i="2"/>
  <c r="D36" i="7" s="1"/>
  <c r="AH142" i="2"/>
  <c r="D35" i="7" s="1"/>
  <c r="AG142" i="2"/>
  <c r="D34" i="7" s="1"/>
  <c r="AF142" i="2"/>
  <c r="D33" i="7" s="1"/>
  <c r="AE142" i="2"/>
  <c r="D32" i="7" s="1"/>
  <c r="AD142" i="2"/>
  <c r="D31" i="7" s="1"/>
  <c r="AC142" i="2"/>
  <c r="D30" i="7" s="1"/>
  <c r="AB142" i="2"/>
  <c r="D29" i="7" s="1"/>
  <c r="AA142" i="2"/>
  <c r="D28" i="7" s="1"/>
  <c r="Z142" i="2"/>
  <c r="D27" i="7" s="1"/>
  <c r="Y142" i="2"/>
  <c r="D26" i="7" s="1"/>
  <c r="X142" i="2"/>
  <c r="D25" i="7" s="1"/>
  <c r="W142" i="2"/>
  <c r="D24" i="7" s="1"/>
  <c r="V142" i="2"/>
  <c r="D23" i="7" s="1"/>
  <c r="U142" i="2"/>
  <c r="D22" i="7" s="1"/>
  <c r="D21" i="7"/>
  <c r="S142" i="2"/>
  <c r="D20" i="7" s="1"/>
  <c r="R142" i="2"/>
  <c r="D19" i="7" s="1"/>
  <c r="Q142" i="2"/>
  <c r="D18" i="7" s="1"/>
  <c r="P142" i="2"/>
  <c r="D17" i="7" s="1"/>
  <c r="O142" i="2"/>
  <c r="D16" i="7" s="1"/>
  <c r="N142" i="2"/>
  <c r="D15" i="7" s="1"/>
  <c r="M142" i="2"/>
  <c r="D14" i="7" s="1"/>
  <c r="L142" i="2"/>
  <c r="D13" i="7" s="1"/>
  <c r="K142" i="2"/>
  <c r="D12" i="7" s="1"/>
  <c r="J142" i="2"/>
  <c r="D11" i="7" s="1"/>
  <c r="I142" i="2"/>
  <c r="D10" i="7" s="1"/>
  <c r="H142" i="2"/>
  <c r="D9" i="7" s="1"/>
  <c r="G142" i="2"/>
  <c r="D8" i="7" s="1"/>
  <c r="F142" i="2"/>
  <c r="D7" i="7" s="1"/>
  <c r="E142" i="2"/>
  <c r="D6" i="7" s="1"/>
  <c r="D142" i="2"/>
  <c r="I49" i="1"/>
  <c r="I48" i="1"/>
  <c r="I47" i="1"/>
  <c r="I46" i="1"/>
  <c r="I45" i="1"/>
  <c r="I44" i="1"/>
  <c r="I43" i="1"/>
  <c r="I42" i="1"/>
  <c r="I41" i="1"/>
  <c r="I40" i="1"/>
  <c r="I39" i="1"/>
  <c r="I38" i="1"/>
  <c r="I37" i="1"/>
  <c r="I36" i="1"/>
  <c r="I35" i="1"/>
  <c r="I34" i="1"/>
  <c r="I33" i="1"/>
  <c r="I32" i="1"/>
  <c r="I31" i="1"/>
  <c r="I27" i="1"/>
  <c r="I26" i="1"/>
  <c r="I25" i="1"/>
  <c r="I23" i="1"/>
  <c r="I21" i="1"/>
  <c r="I20" i="1"/>
  <c r="I19" i="1"/>
  <c r="I18" i="1"/>
  <c r="I16" i="1"/>
  <c r="I14" i="1"/>
  <c r="I13" i="1"/>
  <c r="I11" i="1"/>
  <c r="I7" i="1"/>
  <c r="I5" i="1"/>
  <c r="J153" i="2" l="1"/>
  <c r="J151" i="2"/>
  <c r="J158" i="2"/>
  <c r="J160" i="2"/>
  <c r="AP144" i="2"/>
  <c r="D5" i="7"/>
  <c r="AP142" i="2"/>
  <c r="J155" i="2"/>
  <c r="F5" i="7"/>
  <c r="AP143" i="2"/>
  <c r="J5" i="7"/>
  <c r="AP145" i="2"/>
  <c r="J152" i="2"/>
  <c r="D161" i="2"/>
  <c r="G13" i="4" s="1"/>
  <c r="J154" i="2"/>
  <c r="J156" i="2"/>
  <c r="AP146" i="2"/>
  <c r="J157" i="2"/>
  <c r="J159" i="2"/>
  <c r="N10" i="7"/>
  <c r="N18" i="7"/>
  <c r="N22" i="7"/>
  <c r="N26" i="7"/>
  <c r="N30" i="7"/>
  <c r="N34" i="7"/>
  <c r="N38" i="7"/>
  <c r="N42" i="7"/>
  <c r="N7" i="7"/>
  <c r="N11" i="7"/>
  <c r="N15" i="7"/>
  <c r="N19" i="7"/>
  <c r="N23" i="7"/>
  <c r="N27" i="7"/>
  <c r="N31" i="7"/>
  <c r="N35" i="7"/>
  <c r="N39" i="7"/>
  <c r="N6" i="7"/>
  <c r="N8" i="7"/>
  <c r="N12" i="7"/>
  <c r="N20" i="7"/>
  <c r="N28" i="7"/>
  <c r="N32" i="7"/>
  <c r="N40" i="7"/>
  <c r="N14" i="7"/>
  <c r="N16" i="7"/>
  <c r="N24" i="7"/>
  <c r="N36" i="7"/>
  <c r="N9" i="7"/>
  <c r="N13" i="7"/>
  <c r="N17" i="7"/>
  <c r="N21" i="7"/>
  <c r="N25" i="7"/>
  <c r="N29" i="7"/>
  <c r="N33" i="7"/>
  <c r="N37" i="7"/>
  <c r="N41" i="7"/>
  <c r="J4" i="4"/>
  <c r="D3" i="7"/>
  <c r="M5" i="7" s="1"/>
  <c r="J4" i="3"/>
  <c r="F15" i="3" s="1"/>
  <c r="G161" i="2"/>
  <c r="G16" i="4" s="1"/>
  <c r="I161" i="2"/>
  <c r="G18" i="4" s="1"/>
  <c r="E161" i="2"/>
  <c r="G14" i="4" s="1"/>
  <c r="S179" i="2"/>
  <c r="W179" i="2"/>
  <c r="AA179" i="2"/>
  <c r="AE179" i="2"/>
  <c r="AI179" i="2"/>
  <c r="AM179" i="2"/>
  <c r="AQ179" i="2"/>
  <c r="AU179" i="2"/>
  <c r="F179" i="2"/>
  <c r="J179" i="2"/>
  <c r="N179" i="2"/>
  <c r="R179" i="2"/>
  <c r="V179" i="2"/>
  <c r="Z179" i="2"/>
  <c r="AD179" i="2"/>
  <c r="AH179" i="2"/>
  <c r="AL179" i="2"/>
  <c r="AP179" i="2"/>
  <c r="AT179" i="2"/>
  <c r="E147" i="2"/>
  <c r="Q147" i="2"/>
  <c r="AC147" i="2"/>
  <c r="AO147" i="2"/>
  <c r="P147" i="2"/>
  <c r="AB147" i="2"/>
  <c r="H161" i="2"/>
  <c r="G17" i="4" s="1"/>
  <c r="G179" i="2"/>
  <c r="K179" i="2"/>
  <c r="O179" i="2"/>
  <c r="I147" i="2"/>
  <c r="U147" i="2"/>
  <c r="AG147" i="2"/>
  <c r="L147" i="2"/>
  <c r="X147" i="2"/>
  <c r="AJ147" i="2"/>
  <c r="F147" i="2"/>
  <c r="J147" i="2"/>
  <c r="N147" i="2"/>
  <c r="R147" i="2"/>
  <c r="V147" i="2"/>
  <c r="Z147" i="2"/>
  <c r="AD147" i="2"/>
  <c r="AH147" i="2"/>
  <c r="AL147" i="2"/>
  <c r="D179" i="2"/>
  <c r="H179" i="2"/>
  <c r="L179" i="2"/>
  <c r="P179" i="2"/>
  <c r="T179" i="2"/>
  <c r="X179" i="2"/>
  <c r="AB179" i="2"/>
  <c r="AF179" i="2"/>
  <c r="AJ179" i="2"/>
  <c r="AN179" i="2"/>
  <c r="AR179" i="2"/>
  <c r="M147" i="2"/>
  <c r="Y147" i="2"/>
  <c r="AK147" i="2"/>
  <c r="H147" i="2"/>
  <c r="T147" i="2"/>
  <c r="AF147" i="2"/>
  <c r="AN147" i="2"/>
  <c r="G147" i="2"/>
  <c r="K147" i="2"/>
  <c r="O147" i="2"/>
  <c r="S147" i="2"/>
  <c r="W147" i="2"/>
  <c r="AA147" i="2"/>
  <c r="AE147" i="2"/>
  <c r="AI147" i="2"/>
  <c r="AM147" i="2"/>
  <c r="F161" i="2"/>
  <c r="G15" i="4" s="1"/>
  <c r="E179" i="2"/>
  <c r="I179" i="2"/>
  <c r="M179" i="2"/>
  <c r="Q179" i="2"/>
  <c r="U179" i="2"/>
  <c r="Y179" i="2"/>
  <c r="AC179" i="2"/>
  <c r="AG179" i="2"/>
  <c r="AK179" i="2"/>
  <c r="AO179" i="2"/>
  <c r="AS179" i="2"/>
  <c r="D147" i="2"/>
  <c r="E164" i="2"/>
  <c r="N5" i="7" l="1"/>
  <c r="AP147" i="2"/>
  <c r="E166" i="2" s="1"/>
  <c r="F18" i="4"/>
  <c r="H18" i="4" s="1"/>
  <c r="F13" i="4"/>
  <c r="H13" i="4" s="1"/>
  <c r="G15" i="3"/>
  <c r="F17" i="4"/>
  <c r="H17" i="4" s="1"/>
  <c r="I17" i="4" s="1"/>
  <c r="J17" i="4" s="1"/>
  <c r="F14" i="4"/>
  <c r="H14" i="4" s="1"/>
  <c r="I14" i="4" s="1"/>
  <c r="J14" i="4" s="1"/>
  <c r="G18" i="3"/>
  <c r="F16" i="4"/>
  <c r="H16" i="4" s="1"/>
  <c r="I16" i="4" s="1"/>
  <c r="J16" i="4" s="1"/>
  <c r="E25" i="7"/>
  <c r="E7" i="7"/>
  <c r="M14" i="7"/>
  <c r="I25" i="7"/>
  <c r="E12" i="7"/>
  <c r="I5" i="7"/>
  <c r="K42" i="7"/>
  <c r="E28" i="7"/>
  <c r="K21" i="7"/>
  <c r="K24" i="7"/>
  <c r="M16" i="7"/>
  <c r="M38" i="7"/>
  <c r="I24" i="7"/>
  <c r="E39" i="7"/>
  <c r="I30" i="7"/>
  <c r="K31" i="7"/>
  <c r="G11" i="7"/>
  <c r="M33" i="7"/>
  <c r="G10" i="7"/>
  <c r="I27" i="7"/>
  <c r="E34" i="7"/>
  <c r="G36" i="7"/>
  <c r="K11" i="7"/>
  <c r="I40" i="7"/>
  <c r="G33" i="7"/>
  <c r="M19" i="7"/>
  <c r="M30" i="7"/>
  <c r="M10" i="7"/>
  <c r="K27" i="7"/>
  <c r="I41" i="7"/>
  <c r="I21" i="7"/>
  <c r="G31" i="7"/>
  <c r="E9" i="7"/>
  <c r="M25" i="7"/>
  <c r="I28" i="7"/>
  <c r="E36" i="7"/>
  <c r="K34" i="7"/>
  <c r="I16" i="7"/>
  <c r="M36" i="7"/>
  <c r="K41" i="7"/>
  <c r="K9" i="7"/>
  <c r="I15" i="7"/>
  <c r="G21" i="7"/>
  <c r="E15" i="7"/>
  <c r="M15" i="7"/>
  <c r="K20" i="7"/>
  <c r="I26" i="7"/>
  <c r="G32" i="7"/>
  <c r="E42" i="7"/>
  <c r="G29" i="3"/>
  <c r="M26" i="7"/>
  <c r="M6" i="7"/>
  <c r="K19" i="7"/>
  <c r="I37" i="7"/>
  <c r="I17" i="7"/>
  <c r="G27" i="7"/>
  <c r="E41" i="7"/>
  <c r="E5" i="7"/>
  <c r="K38" i="7"/>
  <c r="G38" i="7"/>
  <c r="M41" i="7"/>
  <c r="K14" i="7"/>
  <c r="G34" i="7"/>
  <c r="M32" i="7"/>
  <c r="K37" i="7"/>
  <c r="K5" i="7"/>
  <c r="I11" i="7"/>
  <c r="G17" i="7"/>
  <c r="E23" i="7"/>
  <c r="M35" i="7"/>
  <c r="K40" i="7"/>
  <c r="K8" i="7"/>
  <c r="I14" i="7"/>
  <c r="G20" i="7"/>
  <c r="E18" i="7"/>
  <c r="G16" i="3"/>
  <c r="M42" i="7"/>
  <c r="M22" i="7"/>
  <c r="K35" i="7"/>
  <c r="K15" i="7"/>
  <c r="I33" i="7"/>
  <c r="I9" i="7"/>
  <c r="G15" i="7"/>
  <c r="E37" i="7"/>
  <c r="K30" i="7"/>
  <c r="G26" i="7"/>
  <c r="E16" i="7"/>
  <c r="M29" i="7"/>
  <c r="K6" i="7"/>
  <c r="G30" i="7"/>
  <c r="E32" i="7"/>
  <c r="E20" i="7"/>
  <c r="E8" i="7"/>
  <c r="M20" i="7"/>
  <c r="K25" i="7"/>
  <c r="I31" i="7"/>
  <c r="G37" i="7"/>
  <c r="G5" i="7"/>
  <c r="E31" i="7"/>
  <c r="M31" i="7"/>
  <c r="K36" i="7"/>
  <c r="I42" i="7"/>
  <c r="I10" i="7"/>
  <c r="G16" i="7"/>
  <c r="E26" i="7"/>
  <c r="F15" i="4"/>
  <c r="H15" i="4" s="1"/>
  <c r="I15" i="4" s="1"/>
  <c r="J15" i="4" s="1"/>
  <c r="G39" i="7"/>
  <c r="G23" i="7"/>
  <c r="G7" i="7"/>
  <c r="E29" i="7"/>
  <c r="E21" i="7"/>
  <c r="E13" i="7"/>
  <c r="M17" i="7"/>
  <c r="K22" i="7"/>
  <c r="I20" i="7"/>
  <c r="G18" i="7"/>
  <c r="M21" i="7"/>
  <c r="K26" i="7"/>
  <c r="I36" i="7"/>
  <c r="I12" i="7"/>
  <c r="G22" i="7"/>
  <c r="E40" i="7"/>
  <c r="E6" i="7"/>
  <c r="M28" i="7"/>
  <c r="M12" i="7"/>
  <c r="K33" i="7"/>
  <c r="K17" i="7"/>
  <c r="I39" i="7"/>
  <c r="I23" i="7"/>
  <c r="I7" i="7"/>
  <c r="G29" i="7"/>
  <c r="G13" i="7"/>
  <c r="M27" i="7"/>
  <c r="M11" i="7"/>
  <c r="K32" i="7"/>
  <c r="K16" i="7"/>
  <c r="I38" i="7"/>
  <c r="I22" i="7"/>
  <c r="I6" i="7"/>
  <c r="G28" i="7"/>
  <c r="G12" i="7"/>
  <c r="M34" i="7"/>
  <c r="M18" i="7"/>
  <c r="K39" i="7"/>
  <c r="K23" i="7"/>
  <c r="K7" i="7"/>
  <c r="I29" i="7"/>
  <c r="I13" i="7"/>
  <c r="G35" i="7"/>
  <c r="G19" i="7"/>
  <c r="E33" i="7"/>
  <c r="E17" i="7"/>
  <c r="M37" i="7"/>
  <c r="M13" i="7"/>
  <c r="K10" i="7"/>
  <c r="I8" i="7"/>
  <c r="G6" i="7"/>
  <c r="E24" i="7"/>
  <c r="E14" i="7"/>
  <c r="M9" i="7"/>
  <c r="K18" i="7"/>
  <c r="I32" i="7"/>
  <c r="G42" i="7"/>
  <c r="G14" i="7"/>
  <c r="M40" i="7"/>
  <c r="M24" i="7"/>
  <c r="M8" i="7"/>
  <c r="K29" i="7"/>
  <c r="K13" i="7"/>
  <c r="I35" i="7"/>
  <c r="I19" i="7"/>
  <c r="G41" i="7"/>
  <c r="G25" i="7"/>
  <c r="G9" i="7"/>
  <c r="E35" i="7"/>
  <c r="E27" i="7"/>
  <c r="E19" i="7"/>
  <c r="E11" i="7"/>
  <c r="M39" i="7"/>
  <c r="M23" i="7"/>
  <c r="M7" i="7"/>
  <c r="K28" i="7"/>
  <c r="K12" i="7"/>
  <c r="I34" i="7"/>
  <c r="I18" i="7"/>
  <c r="G40" i="7"/>
  <c r="G24" i="7"/>
  <c r="G8" i="7"/>
  <c r="E38" i="7"/>
  <c r="E30" i="7"/>
  <c r="E22" i="7"/>
  <c r="E10" i="7"/>
  <c r="G24" i="3"/>
  <c r="G23" i="3"/>
  <c r="G22" i="3"/>
  <c r="G28" i="3"/>
  <c r="G17" i="3"/>
  <c r="I18" i="4"/>
  <c r="J18" i="4" s="1"/>
  <c r="J161" i="2"/>
  <c r="E167" i="2" s="1"/>
  <c r="G27" i="3"/>
  <c r="G21" i="3"/>
  <c r="F24" i="3"/>
  <c r="H24" i="3" s="1"/>
  <c r="F18" i="3"/>
  <c r="H18" i="3" s="1"/>
  <c r="F29" i="3"/>
  <c r="H29" i="3" s="1"/>
  <c r="F23" i="3"/>
  <c r="H23" i="3" s="1"/>
  <c r="F17" i="3"/>
  <c r="H17" i="3" s="1"/>
  <c r="F28" i="3"/>
  <c r="H28" i="3" s="1"/>
  <c r="F22" i="3"/>
  <c r="H22" i="3" s="1"/>
  <c r="F16" i="3"/>
  <c r="H16" i="3" s="1"/>
  <c r="F27" i="3"/>
  <c r="H27" i="3" s="1"/>
  <c r="F21" i="3"/>
  <c r="H21" i="3" s="1"/>
  <c r="H15" i="3"/>
  <c r="E169" i="2"/>
  <c r="E170" i="2"/>
  <c r="E165" i="2" l="1"/>
  <c r="I13" i="4"/>
  <c r="G9" i="4" s="1"/>
  <c r="F9" i="4"/>
  <c r="H9" i="4" s="1"/>
  <c r="O38" i="7"/>
  <c r="O5" i="7"/>
  <c r="O12" i="7"/>
  <c r="O15" i="7"/>
  <c r="O31" i="7"/>
  <c r="O30" i="7"/>
  <c r="O11" i="7"/>
  <c r="O9" i="7"/>
  <c r="O32" i="7"/>
  <c r="O26" i="7"/>
  <c r="O25" i="7"/>
  <c r="O37" i="7"/>
  <c r="O7" i="7"/>
  <c r="O10" i="7"/>
  <c r="O8" i="7"/>
  <c r="O34" i="7"/>
  <c r="O27" i="7"/>
  <c r="O41" i="7"/>
  <c r="O17" i="7"/>
  <c r="O28" i="7"/>
  <c r="O16" i="7"/>
  <c r="O18" i="7"/>
  <c r="O23" i="7"/>
  <c r="I29" i="3"/>
  <c r="J29" i="3" s="1"/>
  <c r="O22" i="7"/>
  <c r="O42" i="7"/>
  <c r="O33" i="7"/>
  <c r="O36" i="7"/>
  <c r="O20" i="7"/>
  <c r="O21" i="7"/>
  <c r="O39" i="7"/>
  <c r="O13" i="7"/>
  <c r="O35" i="7"/>
  <c r="O14" i="7"/>
  <c r="O6" i="7"/>
  <c r="O24" i="7"/>
  <c r="O40" i="7"/>
  <c r="O29" i="7"/>
  <c r="O19" i="7"/>
  <c r="I28" i="3"/>
  <c r="J28" i="3" s="1"/>
  <c r="I22" i="3"/>
  <c r="J22" i="3" s="1"/>
  <c r="I16" i="3"/>
  <c r="J16" i="3" s="1"/>
  <c r="I23" i="3"/>
  <c r="J23" i="3" s="1"/>
  <c r="I17" i="3"/>
  <c r="J17" i="3" s="1"/>
  <c r="I24" i="3"/>
  <c r="J24" i="3" s="1"/>
  <c r="I18" i="3"/>
  <c r="J18" i="3" s="1"/>
  <c r="F9" i="3"/>
  <c r="H9" i="3" s="1"/>
  <c r="I15" i="3"/>
  <c r="F10" i="3"/>
  <c r="H10" i="3" s="1"/>
  <c r="I21" i="3"/>
  <c r="F11" i="3"/>
  <c r="H11" i="3" s="1"/>
  <c r="I27" i="3"/>
  <c r="J13" i="4" l="1"/>
  <c r="I9" i="4"/>
  <c r="J9" i="4" s="1"/>
  <c r="J5" i="4" s="1"/>
  <c r="J6" i="4" s="1"/>
  <c r="J15" i="3"/>
  <c r="G9" i="3"/>
  <c r="I9" i="3" s="1"/>
  <c r="J9" i="3" s="1"/>
  <c r="J27" i="3"/>
  <c r="G11" i="3"/>
  <c r="I11" i="3" s="1"/>
  <c r="J11" i="3" s="1"/>
  <c r="G10" i="3"/>
  <c r="I10" i="3" s="1"/>
  <c r="J10" i="3" s="1"/>
  <c r="J21" i="3"/>
  <c r="J5" i="3" l="1"/>
  <c r="J6" i="3" s="1"/>
</calcChain>
</file>

<file path=xl/sharedStrings.xml><?xml version="1.0" encoding="utf-8"?>
<sst xmlns="http://schemas.openxmlformats.org/spreadsheetml/2006/main" count="7385" uniqueCount="872">
  <si>
    <t>ENCUESTA DE CLIMA LABORAL</t>
  </si>
  <si>
    <t>A.     Marcar la respuesta según corresponda en las siguientes opciones:</t>
  </si>
  <si>
    <t>VARIABLES</t>
  </si>
  <si>
    <t>Nº</t>
  </si>
  <si>
    <t>ITEMS</t>
  </si>
  <si>
    <t>NUNCA</t>
  </si>
  <si>
    <t>CASI NUNCA</t>
  </si>
  <si>
    <t>A VECES</t>
  </si>
  <si>
    <t>CASI SIEMPRE</t>
  </si>
  <si>
    <t>SIEMPRE</t>
  </si>
  <si>
    <t>GENERALIDADES</t>
  </si>
  <si>
    <t>Al finalizar mi jornada diaria, me siento satisfecho con el trabajo que realizo.</t>
  </si>
  <si>
    <t>Conozco las tareas o funciones específicas que debo realizar en DACHASAC.</t>
  </si>
  <si>
    <t>COLABORACIÓN</t>
  </si>
  <si>
    <t>En mi equipo de trabajo, puedo expresar mi punto de vista, aun cuando contradiga al de los demás miembros</t>
  </si>
  <si>
    <t>Cuento con la colaboración de mis compañeros de área y de otras áreas cuando lo necesito</t>
  </si>
  <si>
    <t>VALORACIÓN - 
MOTIVACION</t>
  </si>
  <si>
    <t>COMUNICACIÓN</t>
  </si>
  <si>
    <t>Mi jefe inmediato escucha mis opiniones y me hace partícipe de las decisiones</t>
  </si>
  <si>
    <t>En DACHASAC existen suficientes canales de comunicación.</t>
  </si>
  <si>
    <t>Las reuniones de coordinación con los miembros de otras áreas son frecuentes.</t>
  </si>
  <si>
    <t>FORMACIÓN</t>
  </si>
  <si>
    <t>Las inducciones realizadas al momento de mi ingreso me ayudan a realizar las labores propias de mi puesto de trabajo</t>
  </si>
  <si>
    <t>DACHASAC me ofrece oportunidades para crecer profesionalmente</t>
  </si>
  <si>
    <t>DACHASAC me ofrece capacitaciones y/o entrenamientos para desarrollarme profesionalmente</t>
  </si>
  <si>
    <t>LIDERAZGO</t>
  </si>
  <si>
    <t>Nuestros gerentes contribuyen a crear condiciones adecuadas para el progreso de DACHASAC</t>
  </si>
  <si>
    <t>SEGURIDAD</t>
  </si>
  <si>
    <t>Trabajo en un ambiente seguro y me siento satisfecho.</t>
  </si>
  <si>
    <t>Dispongo de los materiales, equipos de protección personal y recursos necesarios para realizar mi trabajo de forma segura</t>
  </si>
  <si>
    <t>DACHASAC me proporciona de los equipos, herramientas y materiales a tiempo.</t>
  </si>
  <si>
    <t>REMUNERACIÓN</t>
  </si>
  <si>
    <t>Recibo mi remuneración a tiempo</t>
  </si>
  <si>
    <t>Existe equidad en las remuneraciones</t>
  </si>
  <si>
    <t>Mi remuneración es adecuada en relación con el trabajo que realizo</t>
  </si>
  <si>
    <t>Mi salario y beneficios son razonables y cubren mis necesidades básicas</t>
  </si>
  <si>
    <t>INNOVACION</t>
  </si>
  <si>
    <t>Tengo la libertad de ser creativo e innovador en las soluciones de los problemas laborales que se presenten</t>
  </si>
  <si>
    <t>Considero que DACHASAC es flexible y se adapta bien a los cambios, por lo que la innovación es una de sus características</t>
  </si>
  <si>
    <t>Mis compañeros de trabajo toman iniciativas para la solución de problemas.</t>
  </si>
  <si>
    <t>Es fácil para mis compañeros de trabajo y para mí que nuestras nuevas ideas sean consideradas.</t>
  </si>
  <si>
    <t>RECOMPENSA</t>
  </si>
  <si>
    <t>Considero que los beneficios que me ofrecen en DACHASAC son los más justos y adecuados</t>
  </si>
  <si>
    <t>Existen incentivos laborales para que yo trate de hacer mejor mi trabajo</t>
  </si>
  <si>
    <t>Considero que cada trabajador es considerado factor clave para el éxito de DACHASAC.</t>
  </si>
  <si>
    <t>Las recompensas y reconocimientos son distribuidos en forma justa</t>
  </si>
  <si>
    <t>TOMA DE DECISIONES</t>
  </si>
  <si>
    <t>Ante algún problema o conflicto presentado mi jefe inmediato trata de obtener información antes de tomar una decisión</t>
  </si>
  <si>
    <t>Considero que se puede participar en la definición de los objetivos y las acciones para lograrlo</t>
  </si>
  <si>
    <t>En DACHSAC puedo participar en la toma de decisiones</t>
  </si>
  <si>
    <t>Mi jefe inmediato se reúne regularmente con su equipo de trabajo a fin de coordinar nuevas soluciones a los problemas que se presentan en el trabajo.</t>
  </si>
  <si>
    <t>B.     Marcar la respuesta en la siguiente escala de 0 a 10, donde:</t>
  </si>
  <si>
    <t>CALIFICACIÓN</t>
  </si>
  <si>
    <t>¿Qué tan satisfecho estás de trabajar en DACHASAC?</t>
  </si>
  <si>
    <t>- 0 es "Definitivamente no estoy satisfecho"</t>
  </si>
  <si>
    <t>- 10 es "Definitivamente estoy muy satisfecho"</t>
  </si>
  <si>
    <t>¿Qué tan cómodo se siente al darle sugerencias o comentarios a su jefe inmediato?, donde:</t>
  </si>
  <si>
    <t>- 0 es "Definitivamente incómodo"</t>
  </si>
  <si>
    <t>- 10 es "Definitivamente cómodo"</t>
  </si>
  <si>
    <t>¿Considera que todo el personal de su área se encuentra enfocada en una meta común?, donde:</t>
  </si>
  <si>
    <t>- 0 es "Definitivamente no están enfocados en una meta común"</t>
  </si>
  <si>
    <t>- 10 es "Definitivamente están enfocados en una meta común"</t>
  </si>
  <si>
    <t>¿Considera que tiene autonomía para llevar a cabo su trabajo?, donde:</t>
  </si>
  <si>
    <t>- 0 es "Definitivamente no tengo autonomía para llevar a cabo mi trabajo"</t>
  </si>
  <si>
    <t>- 10 es "Definitivamente si tengo autonomía para llevar a cabo mi trabajo"</t>
  </si>
  <si>
    <t>¿Considera que tiene la oportunidad de desarrollarse profesionalmente en DACHASAC?</t>
  </si>
  <si>
    <t>- 0 es "Definitivamente no tengo la oportunidad de desarrollarse profesionalmente en DACHASAC"</t>
  </si>
  <si>
    <t>- 10 es "Definitivamente tengo la oportunidad de desarrollarse profesionalmente en DACHASAC"</t>
  </si>
  <si>
    <t>¿Qué tan probable es que usted recomiende a sus amigos o colegas el trabajar para DACHASAC?, donde:</t>
  </si>
  <si>
    <t>- 0 es "Definitivamente no lo recomendaría"</t>
  </si>
  <si>
    <t>- 10 es "Definitivamente si lo recomendaría"</t>
  </si>
  <si>
    <t>C.     Marcar la respuesta que considere:</t>
  </si>
  <si>
    <t>¿En qué aspectos debería mejorar para que recomiende más a DACHASAC? (Elija hasta 3 opciones)</t>
  </si>
  <si>
    <t>Ambiente laboral</t>
  </si>
  <si>
    <t>Posibilidad de aprender y desarrollarme</t>
  </si>
  <si>
    <t>Vida integralmente equilibrada</t>
  </si>
  <si>
    <t>Oportunidad de generar valor/impacto con mi trabajo</t>
  </si>
  <si>
    <t>Relación con mi jefe</t>
  </si>
  <si>
    <t>Reconocimiento</t>
  </si>
  <si>
    <t>Liderazgo organizacional</t>
  </si>
  <si>
    <t>Cultura</t>
  </si>
  <si>
    <t>Condiciones de trabajo</t>
  </si>
  <si>
    <t>Identificación con el propósito de la organización</t>
  </si>
  <si>
    <t>Beneficios no remunerativos</t>
  </si>
  <si>
    <t>Compensación</t>
  </si>
  <si>
    <t>Colaboración e interacción con otras Áreas</t>
  </si>
  <si>
    <t>Estabilidad laboral</t>
  </si>
  <si>
    <t>Cercanía y accesibilidad al lugar del trabajo</t>
  </si>
  <si>
    <t>Programas de Recursos Humanos</t>
  </si>
  <si>
    <t>¿Que aspectos consideras que deberían mejorar en tu área?</t>
  </si>
  <si>
    <t>Ningún aspecto a mejorar</t>
  </si>
  <si>
    <t>Compañerismo entre los miembros del equipo</t>
  </si>
  <si>
    <t>Posibilidad de aprender, retos profesionales</t>
  </si>
  <si>
    <t>Ambiente de trabajo</t>
  </si>
  <si>
    <t>La comunicación entre los miembros del equipo a todo nivel, sin importar el puesto</t>
  </si>
  <si>
    <t>Horarios y jornada laboral</t>
  </si>
  <si>
    <t>Enfocarse en brindar la mejor experiencia a nuestros clientes internos y externos</t>
  </si>
  <si>
    <t>Tener un trato justo al colaborador sin importar edad, genero ni el puesto</t>
  </si>
  <si>
    <t>¿Qué aspectos valoras de tu área?</t>
  </si>
  <si>
    <t>Ningún aspecto para valorar</t>
  </si>
  <si>
    <t>Tareas de alto impacto</t>
  </si>
  <si>
    <t>La comunicación entre los mienbros del equipo es fluida a todo nivel, sin importar puesto</t>
  </si>
  <si>
    <t>Emfocarse en brindar la mejor experiencia a nuestros clientes internos y externos</t>
  </si>
  <si>
    <t>Se toman en cuenta nuestras opiniones, ideas y suferencias</t>
  </si>
  <si>
    <t>D.     Respuestas Abiertas:</t>
  </si>
  <si>
    <t>Hipotéticamente hablando, si usted fuese a renunciar mañana, ¿Cuál sería su motivo?</t>
  </si>
  <si>
    <t>RESPUESTA:</t>
  </si>
  <si>
    <t>¿En qué temas le gustaría recibir más capacitaciones?</t>
  </si>
  <si>
    <t>¿Qué cree que se debería hacer para que esté más motivado?</t>
  </si>
  <si>
    <t>INGRESO DE DATOS</t>
  </si>
  <si>
    <t>TOTAL CUESTIONARIOS DIGITADOS</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</si>
  <si>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</si>
  <si>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</si>
  <si>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</si>
  <si>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</si>
  <si>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</si>
  <si>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</si>
  <si>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</si>
  <si>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</si>
  <si>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</si>
  <si>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</si>
  <si>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</si>
  <si>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</si>
  <si>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</si>
  <si>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</si>
  <si>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</si>
  <si>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</si>
  <si>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</si>
  <si>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</si>
  <si>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</si>
  <si>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</si>
  <si>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</si>
  <si>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</si>
  <si>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</si>
  <si>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</si>
  <si>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</si>
  <si>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</si>
  <si>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</si>
  <si>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</si>
  <si>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</si>
  <si>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</si>
  <si>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</si>
  <si>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</si>
  <si>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</si>
  <si>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</si>
  <si>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</si>
  <si>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</si>
  <si>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</si>
  <si>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</si>
  <si>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</si>
  <si>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</si>
  <si>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</si>
  <si>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</si>
  <si>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</si>
  <si>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</si>
  <si>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</si>
  <si>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</si>
  <si>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</si>
  <si>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</si>
  <si>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</si>
  <si>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</si>
  <si>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N°</t>
  </si>
  <si>
    <t>Marca temporal</t>
  </si>
  <si>
    <t>ÁREA:</t>
  </si>
  <si>
    <t>PUESTO:</t>
  </si>
  <si>
    <t>¿Cuánto tiempo lleva trabajando en la empresa?</t>
  </si>
  <si>
    <t>SEXO</t>
  </si>
  <si>
    <t>EDAD</t>
  </si>
  <si>
    <t>Me veo trabajando en DACHASAC a lo largo de…</t>
  </si>
  <si>
    <t>¿Qué tan cómodo se siente al darle sugerencias o comentarios a su jefe inmediato?</t>
  </si>
  <si>
    <t>¿Considera que todo el personal de su área se encuentra enfocada en una meta común?</t>
  </si>
  <si>
    <t>¿Considera que tiene autonomía para llevar a cabo su trabajo?</t>
  </si>
  <si>
    <t>¿Qué tan probable es que usted recomiende a sus amigos o colegas el trabajar para DACHASAC?</t>
  </si>
  <si>
    <t>¿En qué aspectos debería mejorar para que recomiende más a DACHASAC? ( Si es más de 1 colocar las letras)</t>
  </si>
  <si>
    <t>¿Que aspectos consideras que deberían mejorar en tu área? ( Si es más de 1 colocar las letras)</t>
  </si>
  <si>
    <t>¿Qué aspectos valoras de tu área? ( Si es más de 1 colocar las letras)</t>
  </si>
  <si>
    <t>EXPORTACIÓN</t>
  </si>
  <si>
    <t>COORDINADOR</t>
  </si>
  <si>
    <t>Menos de 6 meses</t>
  </si>
  <si>
    <t>MASCULINO</t>
  </si>
  <si>
    <t>De 36a 45 años</t>
  </si>
  <si>
    <t>Los próximos 10 años en adelante</t>
  </si>
  <si>
    <t>A) Ningún aspecto a mejorar</t>
  </si>
  <si>
    <t>B) Compañerismo entre los miembros del equipo</t>
  </si>
  <si>
    <t>IMPORTACIÓN</t>
  </si>
  <si>
    <t>LIQUIDADOR</t>
  </si>
  <si>
    <t>1 año - 2 años</t>
  </si>
  <si>
    <t>De 25 a 35 años</t>
  </si>
  <si>
    <t>Los próximos 6 a 10 años</t>
  </si>
  <si>
    <t>Ñ) Estabilidad laboral</t>
  </si>
  <si>
    <t>F) La comunicación entre los miembros del equipo a todo nivel, sin importar el puesto</t>
  </si>
  <si>
    <t>G) Relación con mi jefe</t>
  </si>
  <si>
    <t>Aumento de sueldo</t>
  </si>
  <si>
    <t>AUXILIAR</t>
  </si>
  <si>
    <t>Este año</t>
  </si>
  <si>
    <t>G) Horarios y jornada laboral</t>
  </si>
  <si>
    <t>K) Tener un trato justo al colaborador sin importar edad, genero ni el puesto</t>
  </si>
  <si>
    <t>SISTEMAS</t>
  </si>
  <si>
    <t>Los próximos 2 años</t>
  </si>
  <si>
    <t>L) Beneficios no remunerativos</t>
  </si>
  <si>
    <t>De 2 años en adelante</t>
  </si>
  <si>
    <t>FEMENINO</t>
  </si>
  <si>
    <t>Salario</t>
  </si>
  <si>
    <t>I) Horarios y jornada laboral</t>
  </si>
  <si>
    <t>Liderazgo</t>
  </si>
  <si>
    <t>6 meses - 1 año</t>
  </si>
  <si>
    <t>G) Reconocimiento</t>
  </si>
  <si>
    <t>F) Ambiente de trabajo</t>
  </si>
  <si>
    <t>Los próximos 3 a 5 años</t>
  </si>
  <si>
    <t>M) Compensación</t>
  </si>
  <si>
    <t>H) La comunicación entre los miembros del equipo es fluida a todo nivel, sin importar puesto</t>
  </si>
  <si>
    <t>I) Tener un trato justo al colaborador sin importar edad, genero ni el puesto</t>
  </si>
  <si>
    <t>MATRICES</t>
  </si>
  <si>
    <t>H) Liderazgo organizacional</t>
  </si>
  <si>
    <t>C) Posibilidad de aprender, retos profesionales</t>
  </si>
  <si>
    <t>Mejora salarial</t>
  </si>
  <si>
    <t>CONTABILIDAD</t>
  </si>
  <si>
    <t>ASISTENTE</t>
  </si>
  <si>
    <t>SECTORISTA</t>
  </si>
  <si>
    <t>A) Ambiente laboral</t>
  </si>
  <si>
    <t>E) Oportunidad de generar valor/impacto con mi trabajo</t>
  </si>
  <si>
    <t>D) Posibilidad de aprender, retos profesionales</t>
  </si>
  <si>
    <t>D) Vida integralmente equilibrada</t>
  </si>
  <si>
    <t>Menor a 25 años</t>
  </si>
  <si>
    <t>ANALISTA</t>
  </si>
  <si>
    <t>H) Enfocarse en brindar la mejor experiencia a nuestros clientes internos y externos</t>
  </si>
  <si>
    <t>Leyes aduaneras</t>
  </si>
  <si>
    <t>O) Cercanía y accesibilidad al lugar del trabajo</t>
  </si>
  <si>
    <t>sueldo</t>
  </si>
  <si>
    <t>Sueldo</t>
  </si>
  <si>
    <t>SALARIO</t>
  </si>
  <si>
    <t>B) Relación con mis compañeros de trabajo</t>
  </si>
  <si>
    <t>C) Posibilidad de aprender y desarrollarme</t>
  </si>
  <si>
    <t>L) Se toman en cuenta nuestras opiniones, ideas y suferencias</t>
  </si>
  <si>
    <t>.</t>
  </si>
  <si>
    <t>C) Tareas de alto impacto</t>
  </si>
  <si>
    <t>JEFE</t>
  </si>
  <si>
    <t>Mayor a 56 años</t>
  </si>
  <si>
    <t>I) Cultura</t>
  </si>
  <si>
    <t>A) Ningún aspecto para valorar</t>
  </si>
  <si>
    <t>Aduanas</t>
  </si>
  <si>
    <t>GERENTE</t>
  </si>
  <si>
    <t>-</t>
  </si>
  <si>
    <t>Seguridad</t>
  </si>
  <si>
    <t>Beneficios</t>
  </si>
  <si>
    <t>REMUNERACION</t>
  </si>
  <si>
    <t>FINANZAS</t>
  </si>
  <si>
    <t>remuneracion</t>
  </si>
  <si>
    <t>D) Ambiente de trabajo</t>
  </si>
  <si>
    <t>ADMINISTRACIÓN</t>
  </si>
  <si>
    <t>ADMINISTRADOR</t>
  </si>
  <si>
    <t>J) Enfocarse en brindar la mejor experiencia a nuestros clientes internos y externos</t>
  </si>
  <si>
    <t>J) Condiciones de trabajo</t>
  </si>
  <si>
    <t>N) Colaboración e interacción con otras Áreas</t>
  </si>
  <si>
    <t>Estudios</t>
  </si>
  <si>
    <t>L,M</t>
  </si>
  <si>
    <t>GERENCIA</t>
  </si>
  <si>
    <t>Remuneración</t>
  </si>
  <si>
    <t>P) Programas de Recursos Humanos</t>
  </si>
  <si>
    <t>El sueldo</t>
  </si>
  <si>
    <t>INHOUSE</t>
  </si>
  <si>
    <t>SISTEMA INTEGRADO DE GESTIÓN</t>
  </si>
  <si>
    <t>DESARROLLADOR</t>
  </si>
  <si>
    <t>Mejoras salariales</t>
  </si>
  <si>
    <t>EL SUELDO</t>
  </si>
  <si>
    <t>RECURSOS HUMANOS</t>
  </si>
  <si>
    <t>LEGAL</t>
  </si>
  <si>
    <t>ASESOR</t>
  </si>
  <si>
    <t>TRIBUTACION</t>
  </si>
  <si>
    <t>VALORACIÓN - 
 MOTIVACIÓN</t>
  </si>
  <si>
    <t>INNOVACIÓN</t>
  </si>
  <si>
    <t>TOTAL</t>
  </si>
  <si>
    <t>TOTAL DE RESPUESTAS</t>
  </si>
  <si>
    <t>TOTAL DE RESPUESTAS CERRADAS</t>
  </si>
  <si>
    <t>TOTAL DE RESPUESTAS EN ESCALA</t>
  </si>
  <si>
    <t>TOTAL DE RESPUESTAS ABIERTAS</t>
  </si>
  <si>
    <t>SUMA TOTAL DE RESPUESTAS CERRADAS</t>
  </si>
  <si>
    <t>SUMA TOTAL DE RESPUESTAS EN ESCALA</t>
  </si>
  <si>
    <t>ESTUDIO DEL CLIMA ORGANIZACIONAL</t>
  </si>
  <si>
    <t>RESULTADOS PREGUNTAS CERRADAS</t>
  </si>
  <si>
    <t>Valor Promedio</t>
  </si>
  <si>
    <t>RESULTADO:</t>
  </si>
  <si>
    <t>Peso</t>
  </si>
  <si>
    <t>Num.Preg</t>
  </si>
  <si>
    <t>Puntaje maximo</t>
  </si>
  <si>
    <t xml:space="preserve">Puntaje obtenido </t>
  </si>
  <si>
    <t>Puntaje Maximo ajustado</t>
  </si>
  <si>
    <t>Puntaje Obtenido ajustado</t>
  </si>
  <si>
    <t>Potencial Humano</t>
  </si>
  <si>
    <t>Diseño Organizacional</t>
  </si>
  <si>
    <t>Cultura de la Organización</t>
  </si>
  <si>
    <t>DIMENSIONES</t>
  </si>
  <si>
    <t>Puntaje obtenido</t>
  </si>
  <si>
    <t>Puntaje Obtenido Ajustado</t>
  </si>
  <si>
    <t>Innovación</t>
  </si>
  <si>
    <t>Recompensa</t>
  </si>
  <si>
    <t>Generalidades</t>
  </si>
  <si>
    <t>Puntaje ajustado</t>
  </si>
  <si>
    <t>Comunicación</t>
  </si>
  <si>
    <t>Formación</t>
  </si>
  <si>
    <t>Colaboración</t>
  </si>
  <si>
    <t>Valoración - 
 Motivación</t>
  </si>
  <si>
    <t>RESULTADOS PREGUNTAS EN ESCALA</t>
  </si>
  <si>
    <t xml:space="preserve"> </t>
  </si>
  <si>
    <t>Satisfacción</t>
  </si>
  <si>
    <t>SATISFACCIÓN</t>
  </si>
  <si>
    <t>GLOBAL</t>
  </si>
  <si>
    <t>CANT. DE ENCUESTADOS</t>
  </si>
  <si>
    <t>RESULTADOS PREGUNTAS CERRADAS (%)</t>
  </si>
  <si>
    <t>RESULTADOS PREGUNTAS EN ESCALA (%)</t>
  </si>
  <si>
    <t xml:space="preserve">DACHASAC facilita mi trabajo al ofrecer normas claras y procedimientos simples que son fáciles de seguir, lo que me permite realizar mis tareas con mayor rapidez y precisión.
</t>
  </si>
  <si>
    <t>Tienes una relación sólida y una competencia sana dentro de tu equipo.</t>
  </si>
  <si>
    <t>El trabajo que realizo es valorado por mi jefe inmediato y recibo retroalimentación y/o capacitación constante para mejorar mi desempeño.</t>
  </si>
  <si>
    <t>Mi jefe inmediato se preocupa por crear un ambiente laboral agradable, lo que me motiva a mejorar día a día.</t>
  </si>
  <si>
    <t>Me gusta lo que hago, me siento motivado a mejorar y mi trabajo me permite desarrollar al máximo mis capacidades.</t>
  </si>
  <si>
    <t>Mi jefe inmediato me mantiene informado sobre cambios importantes del área y me brinda retroalimentación sobre mi desempeño</t>
  </si>
  <si>
    <t>Mi jefe inmediato está disponible cuando lo necesito y brinda apoyo para superar los obstáculos que se presentan.</t>
  </si>
  <si>
    <t>Mi jefe inmediato es claro y específico al definir los objetivos de trabajo y maneja adecuadamente los conflictos.</t>
  </si>
  <si>
    <t>40</t>
  </si>
  <si>
    <t>41</t>
  </si>
  <si>
    <t>42</t>
  </si>
  <si>
    <t>43</t>
  </si>
  <si>
    <t>44</t>
  </si>
  <si>
    <t>Relación con mis compañeros de trabajo</t>
  </si>
  <si>
    <t>POST - EMBARQUE</t>
  </si>
  <si>
    <t>PRE - EMBARQUE</t>
  </si>
  <si>
    <t>NOTAS CONTABLES</t>
  </si>
  <si>
    <t>RECEPCIONISTA</t>
  </si>
  <si>
    <t>SUPERVISOR</t>
  </si>
  <si>
    <t>CONTADOR</t>
  </si>
  <si>
    <t>Al finalizar mi jornada diaria, me siento satisfecho con el trabajo que realizo</t>
  </si>
  <si>
    <t>DACHASAC facilita mi trabajo al ofrecer normas claras y procedimientos simples que son fáciles de seguir, lo que me permite realizar mis tareas con mayor rapidez y precisión.</t>
  </si>
  <si>
    <t>Conozco las tareas o funciones específicas que debo realizar en DACHASAC</t>
  </si>
  <si>
    <t>Tienes una relación sólida y una competencia sana dentro de tu equipo</t>
  </si>
  <si>
    <t>El trabajo que realizo es valorado por mi jefe inmediato y recibo retroalimentación y/o capacitación constante para mejorar mi desempeño</t>
  </si>
  <si>
    <t>Mi jefe inmediato se preocupa por crear un ambiente laboral agradable, lo que me motiva a mejorar día a día</t>
  </si>
  <si>
    <t>Me gusta lo que hago, me siento motivado a mejorar y mi trabajo me permite desarrollar al máximo mis capacidades</t>
  </si>
  <si>
    <t>En DACHASAC existen suficientes canales de comunicación</t>
  </si>
  <si>
    <t>Las reuniones de coordinación con los miembros de otras áreas son frecuentes</t>
  </si>
  <si>
    <t>Mi jefe inmediato está disponible cuando lo necesito y brinda apoyo para superar los obstáculos que se presentan</t>
  </si>
  <si>
    <t>Mi jefe inmediato es claro y específico al definir los objetivos de trabajo y maneja adecuadamente los conflictos</t>
  </si>
  <si>
    <t>Trabajo en un ambiente seguro y me siento satisfecho</t>
  </si>
  <si>
    <t>DACHASAC me proporciona de los equipos, herramientas y materiales a tiempo</t>
  </si>
  <si>
    <t>Mis compañeros de trabajo toman iniciativas para la solución de problemas</t>
  </si>
  <si>
    <t>Es fácil para mis compañeros de trabajo y para mí que nuestras nuevas ideas sean consideradas</t>
  </si>
  <si>
    <t>Considero que cada trabajador es considerado factor clave para el éxito de DACHASAC</t>
  </si>
  <si>
    <t>Mi jefe inmediato se reúne regularmente con su equipo de trabajo a fin de coordinar nuevas soluciones a los problemas que se presentan en el trabajo</t>
  </si>
  <si>
    <t>sueldo mas acorde a especilistas de sistema segun el mercado</t>
  </si>
  <si>
    <t>b,g,h</t>
  </si>
  <si>
    <t>D, E, G, L, M, Ñ, P</t>
  </si>
  <si>
    <t xml:space="preserve">A / B / C / D / E / G / H / L / M / Ñ </t>
  </si>
  <si>
    <t>B</t>
  </si>
  <si>
    <t>C, G, L, P, Ñ</t>
  </si>
  <si>
    <t>B, F, G, D</t>
  </si>
  <si>
    <t>que haya mas interaccion directa con gerencia para que los colaboradores den su punto de vista directa ante cualquier problema que pueda existir.</t>
  </si>
  <si>
    <t>que se trate a todo los trabajadores por igual, respecto a permisos o llamadas de atencion.</t>
  </si>
  <si>
    <t>RECONOCIMIENTO</t>
  </si>
  <si>
    <t>A, B, C, G, H, L, M, N.</t>
  </si>
  <si>
    <t>B, C, F, G, H, I.</t>
  </si>
  <si>
    <t>C, D, G.</t>
  </si>
  <si>
    <t>G</t>
  </si>
  <si>
    <t>C-G-M</t>
  </si>
  <si>
    <t>todas las alternativas.</t>
  </si>
  <si>
    <t>todas</t>
  </si>
  <si>
    <t>C, E, L, N</t>
  </si>
  <si>
    <t>B, G, H, I, L</t>
  </si>
  <si>
    <t>C-G-M-N-Ñ</t>
  </si>
  <si>
    <t>B-C-F-G-H-L</t>
  </si>
  <si>
    <t>E - L - P</t>
  </si>
  <si>
    <t xml:space="preserve">B - F </t>
  </si>
  <si>
    <t>G / M</t>
  </si>
  <si>
    <t>B,F,G,H,I,J,K,L</t>
  </si>
  <si>
    <t xml:space="preserve">G , J , B , H , </t>
  </si>
  <si>
    <t>C-G-Ñ</t>
  </si>
  <si>
    <t>A,B, M</t>
  </si>
  <si>
    <t>E - F - H - K - B - J</t>
  </si>
  <si>
    <t>H, J, M, P</t>
  </si>
  <si>
    <t>NINGUNO</t>
  </si>
  <si>
    <t>E, G, H, L, M, N, P</t>
  </si>
  <si>
    <t>b,d,f,g,h,l</t>
  </si>
  <si>
    <t>N,L,c</t>
  </si>
  <si>
    <t>C, G, L, M, P.</t>
  </si>
  <si>
    <t>B, D, F, G, H.</t>
  </si>
  <si>
    <t>Ñ, sueldo de acuerdo al grado de estudio.</t>
  </si>
  <si>
    <t>B, F, I, K, L</t>
  </si>
  <si>
    <t xml:space="preserve">C, E, L, </t>
  </si>
  <si>
    <t>H, J</t>
  </si>
  <si>
    <t xml:space="preserve">L, M, Ñ </t>
  </si>
  <si>
    <t xml:space="preserve"> F; I; </t>
  </si>
  <si>
    <t>A, C, G, L, N</t>
  </si>
  <si>
    <t>C,D,E</t>
  </si>
  <si>
    <t>C,F,G</t>
  </si>
  <si>
    <t>T.A</t>
  </si>
  <si>
    <t xml:space="preserve">C D </t>
  </si>
  <si>
    <t>G L F P</t>
  </si>
  <si>
    <t>E H</t>
  </si>
  <si>
    <t>L</t>
  </si>
  <si>
    <t>C, E y N</t>
  </si>
  <si>
    <t>B, F y G</t>
  </si>
  <si>
    <t>C, N</t>
  </si>
  <si>
    <t>Que todos se enfoquen en realizar un buen trabajo, y todos por igual, para poder avanzar en conjunto.</t>
  </si>
  <si>
    <t>Mejorar los tiempos de contrato actualmente se firma por 1 o 2 meses lo que no da mucho margen al trabajador de pensar en continuar con la relación laboral sobretodo para los que tenemos familia</t>
  </si>
  <si>
    <t>Equidad remunerativa</t>
  </si>
  <si>
    <t>B, E,G</t>
  </si>
  <si>
    <t>D, L, O, M, Ñ</t>
  </si>
  <si>
    <t>E, G, H, L</t>
  </si>
  <si>
    <t>B H</t>
  </si>
  <si>
    <t>A,B,D,H,I,M,O</t>
  </si>
  <si>
    <t>B,C,D</t>
  </si>
  <si>
    <t>H,I,K,L</t>
  </si>
  <si>
    <t>D y M</t>
  </si>
  <si>
    <t>B, D, F, G, L</t>
  </si>
  <si>
    <t xml:space="preserve">Cursos con certificaciones qué nos ayuden al desarrollo laboral. </t>
  </si>
  <si>
    <t>B,F</t>
  </si>
  <si>
    <t>Remuneración adecuada</t>
  </si>
  <si>
    <t>J  C</t>
  </si>
  <si>
    <t>Remuneración y horarios</t>
  </si>
  <si>
    <t>A, G, J, L, M, Ñ, O</t>
  </si>
  <si>
    <t>salario</t>
  </si>
  <si>
    <t>B - E - F -G -H - K - L</t>
  </si>
  <si>
    <t>G-L-N</t>
  </si>
  <si>
    <t>C,H</t>
  </si>
  <si>
    <t>CD</t>
  </si>
  <si>
    <t>D,G,J,M,N,Ñ,O,P</t>
  </si>
  <si>
    <t>B,D,F,G,H,J,K,L</t>
  </si>
  <si>
    <t>M, N</t>
  </si>
  <si>
    <t>LA C, YA QUE DEBEMOS TENER ACTUALIZACIONES DE ADUANA QUE SIEMPRE VAN PUBLICANDOSE</t>
  </si>
  <si>
    <t>B, E, F, G, H, I, J, K, L, valoro estos aspectos del área donde trabajo</t>
  </si>
  <si>
    <t>G, M, N, O</t>
  </si>
  <si>
    <t>REMUNERACIONES</t>
  </si>
  <si>
    <t>B, D, F, H, K</t>
  </si>
  <si>
    <t>a,c,f,h,l,ñ</t>
  </si>
  <si>
    <t>e,i,c</t>
  </si>
  <si>
    <t>todas menos GYK</t>
  </si>
  <si>
    <t>C), E), G), H), K), L), M), O) y P)</t>
  </si>
  <si>
    <t>C), G), H) y I)</t>
  </si>
  <si>
    <t>B), F), H) y L)</t>
  </si>
  <si>
    <t>MEJORAR LA IMPLEMENTACIÓN DOCUMENTARIA Y DE EQUIPOS A NIVEL CORPORATIVO</t>
  </si>
  <si>
    <t>R,kH</t>
  </si>
  <si>
    <t>A, C, K</t>
  </si>
  <si>
    <t>B, F, G, H, L</t>
  </si>
  <si>
    <t>A , C , G , Ñ y P</t>
  </si>
  <si>
    <t>E) Reconocimiento</t>
  </si>
  <si>
    <t>partidas arancelarias , nomeclatura</t>
  </si>
  <si>
    <t>llevo  4 años en la agencia con el mismo sueldo , subirme el sueldo</t>
  </si>
  <si>
    <t>principalmente por la falta de un ambiente de trabajo positivo y de apoyo. Creo que un entorno donde se valore el crecimiento, la comunicación efectiva y el respeto mutuo es clave para seguir aportando lo mejor de mí</t>
  </si>
  <si>
    <t>sobre mi area, actualizaciones!</t>
  </si>
  <si>
    <t>para estar más motivado, creo que sería importante sentir que mi esfuerzo es reconocido y valorado. También un ambiente de trabajo positivo, donde haya buena comunicación y respeto, hace una gran diferencia. Y, por supuesto, un pago justo que refleje el trabajo que realizo sería un factor clave para seguir dando lo mejor de mí.</t>
  </si>
  <si>
    <t>mejora de salariario acorde a especilistas de sistemas en el mercado.</t>
  </si>
  <si>
    <t>desarrollo / gestion de proyectos</t>
  </si>
  <si>
    <t>viernes de casual de chela, donde la empresa invite una chela a los colaboradores, o mas afther office como los que hicieron en salaverry.</t>
  </si>
  <si>
    <t>Mejor oferta laboral</t>
  </si>
  <si>
    <t>Logistica internacional</t>
  </si>
  <si>
    <t xml:space="preserve">Bonos </t>
  </si>
  <si>
    <t xml:space="preserve">EN GENERAL </t>
  </si>
  <si>
    <t>MEJORAR REMUNERACION DE ACORDE AL MERCADO Y CUMPLIR CON LOS HORARIOS LABORALES Y DE HABER ALGUNA EMERGENCIA QUE REQUIERE CONECTARSE FUERA DEL HORARIO LABORAL DEBERIA HABER PAGO POR HORAS EXTRAS</t>
  </si>
  <si>
    <t>Sobre procedimientos</t>
  </si>
  <si>
    <t>Apoyo en el turno</t>
  </si>
  <si>
    <t>UNA MEJORA SALARIAL</t>
  </si>
  <si>
    <t>LEGISLACION ADUANERA Y SUS CAMBIOS</t>
  </si>
  <si>
    <t>UNA MEJORA SALARIAL Y BENEFICIOS COMO BONOS SODEXO Y DESCUENTOS EN ESTABLECIMIENTOS</t>
  </si>
  <si>
    <t>Una mejor oferta laboral (economía o profesional)</t>
  </si>
  <si>
    <t>La sobrecarga de trabajo.</t>
  </si>
  <si>
    <t>En comercio internacional.</t>
  </si>
  <si>
    <t>Que si el personal labora mas horas sean pagadas de acuerdo a ley, que haya actividades externas para fomentar la integración entre compañeros y si hay algún inconveniente u observación al personal sea investigado a fondo a fin de que a todos se les haga cumplir con multas o sanciones equitativamente.</t>
  </si>
  <si>
    <t>No reconocen a un buen trabajador como debería ser.</t>
  </si>
  <si>
    <t xml:space="preserve">RECONOCIMIENTO </t>
  </si>
  <si>
    <t>Edad máxima.</t>
  </si>
  <si>
    <t>Aduaneras, por mi puesto de trabajo.</t>
  </si>
  <si>
    <t>Descansos respectivos por acumulación de HHEE, si en caso no es remunerado.</t>
  </si>
  <si>
    <t>OTRO</t>
  </si>
  <si>
    <t>ADUANAS - SUNAT - CONTABILIDAD GENERAL - CONTABILIDAD LABORAL COMERCIO INTERNACIONAL</t>
  </si>
  <si>
    <t>Reconocer logros, por pequeños que sean , rrecompensas.</t>
  </si>
  <si>
    <t>Mejora economica</t>
  </si>
  <si>
    <t>Temas ADUANEROS</t>
  </si>
  <si>
    <t>POR EL MOMENTO TODO ESTA BIEN</t>
  </si>
  <si>
    <t>Cursos de seguridad, actualizaciones de la nuevas leyes de aduanas</t>
  </si>
  <si>
    <t>Hacer reuniones donde nos tomen en cuenta y ser justos en la yoma de decisisones</t>
  </si>
  <si>
    <t xml:space="preserve">NO HAY EQUIDAD Y NO VEN EL EMPEÑO QUE PONE CADA TRABAJADOR , Y SOLO SE LE CONSIDERA A UNO MAS QUE EL OTRO </t>
  </si>
  <si>
    <t xml:space="preserve">AREA DE CONTABILIDAD </t>
  </si>
  <si>
    <t xml:space="preserve">CONSIDERARNOS POR EL TRABAJO QUE HACEMOS POR LA EMPRESA Y NO METIR WUE SE NOS DARAN INCENTIVOS Y LUEGO NO NOS DAN </t>
  </si>
  <si>
    <t>El salario no compensa mi trabajo realizado.</t>
  </si>
  <si>
    <t>Exportaciones</t>
  </si>
  <si>
    <t>Trabajar con la remuneración justa.</t>
  </si>
  <si>
    <t>Sueldo acordes a las competencia de mi conocimientos y a la responsabilidad
24/7 q nos asignan (por que los usuarios de paita son bien especiales ) :)</t>
  </si>
  <si>
    <t xml:space="preserve">en todo que sea avances tecnológicos </t>
  </si>
  <si>
    <t>Mejor sueldo :)</t>
  </si>
  <si>
    <t>salarial</t>
  </si>
  <si>
    <t>actualziaciones de sunat</t>
  </si>
  <si>
    <t>algun beneficio o bono</t>
  </si>
  <si>
    <t>remuneracion y falta de reconocimiento de trabajo y mejorias personales</t>
  </si>
  <si>
    <t>normas aduaneras.</t>
  </si>
  <si>
    <t>MEJORA PROFESIONAL YA QUE NO EN MI PUESTO NO HAY UNA CAPACITACION CONTINUA, Y POR UN MEJOR SUELDO DE ACUERDO A LA COMPETENCIA DE MIS CONOCIMIENTOS Y RESPONSABILIDAD ASIGNADA</t>
  </si>
  <si>
    <t>DEVOPS, FRONTEND, BACKEND, BASE DE DATOS, INTELIGENCIA ARTIFICIAL</t>
  </si>
  <si>
    <t>UN DIA DE INTEGRACIÓN CON MIS COMPAÑEROS DE ÁREA</t>
  </si>
  <si>
    <t xml:space="preserve">POR CRECIMIENTO PROFESIONAL </t>
  </si>
  <si>
    <t xml:space="preserve">ACTUALIZACION DE LOS INCOTERMS </t>
  </si>
  <si>
    <t>DAR INCENTIVO MONETARIO POR AREA</t>
  </si>
  <si>
    <t>cecimiento laboral</t>
  </si>
  <si>
    <t>insentivos , bonos</t>
  </si>
  <si>
    <t xml:space="preserve">Sobrecarga de trabajo sin reconocer ni incentivos </t>
  </si>
  <si>
    <t xml:space="preserve">En temas de importaciones </t>
  </si>
  <si>
    <t xml:space="preserve">Aumento de sueldo y reconocimientos por desempeñar bien el trabajo </t>
  </si>
  <si>
    <t xml:space="preserve">NO TENGO EN MI MENTE ESA IDEA </t>
  </si>
  <si>
    <t>SEGURIDAD EN EL TRABAJO</t>
  </si>
  <si>
    <t xml:space="preserve">QUE SE LE INCENTIVE AL PERSONAL Y JUSTOS CON LOS SALARIOS </t>
  </si>
  <si>
    <t>Horarios de trabajo y baja remuneración</t>
  </si>
  <si>
    <t>Temas de numeración de otros regímenes (revisión de documentos e ingreso al sistema)</t>
  </si>
  <si>
    <t>Tener un sueldo acorde al trabajo y esfuerzo que se hace.</t>
  </si>
  <si>
    <t>una mejor propuesta de trabajo</t>
  </si>
  <si>
    <t>recursos humanos</t>
  </si>
  <si>
    <t>TEMAS ADUANEROS</t>
  </si>
  <si>
    <t>BENEFICIOS REMUNERATIVOS O NO REMUNERATIVOS</t>
  </si>
  <si>
    <t>UNA MEJOR PROPUESTA</t>
  </si>
  <si>
    <t>MANEJO DOCUMENTARIO Y PROCESOS PARA REALIZAR DESPACHOS Y SISTEMAS</t>
  </si>
  <si>
    <t>CHARLAS DE 05 MINUTOS DONDE NOS DIGAN LOS RIESGOS Y PREVENCIONES DE NUESTRO TRABAJO</t>
  </si>
  <si>
    <t>UNA BUENA OFERTA DE TRABAJO</t>
  </si>
  <si>
    <t>EXPORTACIONES</t>
  </si>
  <si>
    <t xml:space="preserve">POR UNA MEJOR PROPUSTA DE REMUNERABLE </t>
  </si>
  <si>
    <t xml:space="preserve">SOBRE EL COMERCIO EXTERIOR </t>
  </si>
  <si>
    <t>CAPACITACIONES DINAMICAS , UN TIEMPO PARA PODER COMPARTIR Y DESESTRESARSE</t>
  </si>
  <si>
    <t xml:space="preserve">MOTIVOS PERSONALES </t>
  </si>
  <si>
    <t>EN TODAS LAS AREAS</t>
  </si>
  <si>
    <t>----</t>
  </si>
  <si>
    <t>distancia de mi casa al centro de labores</t>
  </si>
  <si>
    <t>todos</t>
  </si>
  <si>
    <t xml:space="preserve">horarios mas flexibles </t>
  </si>
  <si>
    <t>Mejora laboral</t>
  </si>
  <si>
    <t>Equidad de sueldos</t>
  </si>
  <si>
    <t>IMPORTACIONES</t>
  </si>
  <si>
    <t>ESTABILIDAD LABORAL Y REMUNERACIÓN ACORDE AL TRABAJO</t>
  </si>
  <si>
    <t>TODO LO ASOCIADO A ADUANAS</t>
  </si>
  <si>
    <t>REMUNERACION JUSTA  Y ACTIVIDADES INTEGRADORAS</t>
  </si>
  <si>
    <t>por temas familiares</t>
  </si>
  <si>
    <t>exportación e importación</t>
  </si>
  <si>
    <t>reconocimientos o incentivos por nuestro trabajo</t>
  </si>
  <si>
    <t xml:space="preserve">SUELDO </t>
  </si>
  <si>
    <t>NINGUNA</t>
  </si>
  <si>
    <t xml:space="preserve">RECONOCIMIENTO LABORAL </t>
  </si>
  <si>
    <t>EN TEMAS DE EXPORTACIONES MARITIMAS Y AEREAS</t>
  </si>
  <si>
    <t>Mayor enfoque y remuneración acorde a mi carrera profesional</t>
  </si>
  <si>
    <t xml:space="preserve">POR MOTIVOS DE DEUDAS </t>
  </si>
  <si>
    <t>INCOTERMS</t>
  </si>
  <si>
    <t>NADA</t>
  </si>
  <si>
    <t>No tendtia motivo</t>
  </si>
  <si>
    <t>Sistema</t>
  </si>
  <si>
    <t>Charlas</t>
  </si>
  <si>
    <t xml:space="preserve">REMUNERACION, Y APOYO CUANDO SE NECESITA POR ALGUNA NECESIDAD IMPORTANTE </t>
  </si>
  <si>
    <t xml:space="preserve">SSO, ERGONOMIA, RELACION LABORAL, OTROS </t>
  </si>
  <si>
    <t>INTEGRACION CON EL PERSONAL DE OTRAS AREAS</t>
  </si>
  <si>
    <t>EL AUMENTO QUE ME DIJIERON QUE ME IBAN A BENEFICIAR, PERO HASTA AHORA NO PASA</t>
  </si>
  <si>
    <t>NOMENCLATURA</t>
  </si>
  <si>
    <t>SUBIRME EL SUELDO, QUE HACE MAS DE 3 AÑOS NO ME HAN AUMENTADO</t>
  </si>
  <si>
    <t>una mejor oportunidad y por sueldo</t>
  </si>
  <si>
    <t>programacion</t>
  </si>
  <si>
    <t>mas integraciones</t>
  </si>
  <si>
    <t xml:space="preserve">Por temas personales </t>
  </si>
  <si>
    <t>Xx</t>
  </si>
  <si>
    <t xml:space="preserve">Incentivar al trabajador </t>
  </si>
  <si>
    <t>Una mejora oportunidad laboral</t>
  </si>
  <si>
    <t>regimenes</t>
  </si>
  <si>
    <t>Reconocimientos</t>
  </si>
  <si>
    <t>Salarial.</t>
  </si>
  <si>
    <t>Temas Operacionales.</t>
  </si>
  <si>
    <t>Hacer un Feedback de cada personal por parte del jefe inmediato, con el fin de ver potencial en los colaboradores y ser retribuidos.</t>
  </si>
  <si>
    <t xml:space="preserve">El sueldo y beneficios </t>
  </si>
  <si>
    <t>Comercio exterior en general con certificaciones, a fin de poder obtener mayores conocimientos que se pueden colocar en práctica.</t>
  </si>
  <si>
    <t>Beneficicios remunerados, según área.</t>
  </si>
  <si>
    <t>Tecnología AI</t>
  </si>
  <si>
    <t xml:space="preserve">Un reconocimiento justo y equitativo para todos. </t>
  </si>
  <si>
    <t>REMUNERACIÓN BAJA</t>
  </si>
  <si>
    <t>Comunicación, gestión del tiempo, seguridad, y liderazgo</t>
  </si>
  <si>
    <t>Establecer metas claras y alcanzables que conecte al trabajo direccionados a los objetivos de la Empresa y que estos sean remunerados.</t>
  </si>
  <si>
    <t xml:space="preserve">MEJOR SUELDO </t>
  </si>
  <si>
    <t>NUMERACIONES DE OTROS REGÍMENES ADUANEROS</t>
  </si>
  <si>
    <t>Motivación diaria. Palabras de Aliento.</t>
  </si>
  <si>
    <t xml:space="preserve">bajo salario </t>
  </si>
  <si>
    <t xml:space="preserve">motivación </t>
  </si>
  <si>
    <t>BONOS</t>
  </si>
  <si>
    <t xml:space="preserve">MI REMUNERACIÓN </t>
  </si>
  <si>
    <t xml:space="preserve">En el rubro de comercio </t>
  </si>
  <si>
    <t>Obtener un buen ambiente laboral</t>
  </si>
  <si>
    <t>Seria solo si me encontraria muy mal de salud o algo grave .</t>
  </si>
  <si>
    <t>En los procedimientos de aduanas , actualizar y posibilidad de charlas que nos puedan ayudar a crecer profesionalmente .</t>
  </si>
  <si>
    <t>Confraternizar mas con las demás areas ( eventos deportivos o culturales) , charlas y capacitaciones.</t>
  </si>
  <si>
    <t>Mejor reconocimiento para el trabajo realizado en el turno noche, tanto de forma operativa (el trabajo diario). Cómo también mejorar el sueldo brindado, que no guarda una buena relación con el tipo de trabajo que realizo y el horario.</t>
  </si>
  <si>
    <t>Que se pueda hacer una retroalimentación entre todos, mínimo 1 vez por mes. En dónde todos podamos tocar entre cada área, casitos particulares y las soluciones que se le pudo dar. Así tendríamos más forma de realizar mejor muchos procesos.</t>
  </si>
  <si>
    <t>En u caso en particular, un aumento de sueldo, que compense y reconozca el trabajo y el horario que realizo.</t>
  </si>
  <si>
    <t>Por nuevas oportunidades laboral</t>
  </si>
  <si>
    <t xml:space="preserve">En numeraciones para numerar importación </t>
  </si>
  <si>
    <t xml:space="preserve">Más capacitaciones </t>
  </si>
  <si>
    <t>Crecimiento profesional.</t>
  </si>
  <si>
    <t>ADUANEROS Y LOGISTICOS</t>
  </si>
  <si>
    <t>Mayor resplado por parte de la gerencia en general.</t>
  </si>
  <si>
    <t>Mejora salarial y crecimiento profesional</t>
  </si>
  <si>
    <t>En Exportacion</t>
  </si>
  <si>
    <t>Brindar estabilidad laboral</t>
  </si>
  <si>
    <t>por la mala coordinación al coordinador le falta todavía aprender  de documentación y  aprender operaciones de campo que desconoce  al momento de algún  problema con la operación asignada desconoce aveces y pienso q el coordinador TMB debería contar con acreditación de sunat sería un gran apoyo para las operaciones  como en otras agencias que e laborado .</t>
  </si>
  <si>
    <t>en aduana los nuevos cambios q hay con la digitalización de documentos 💼</t>
  </si>
  <si>
    <t>dar un incentivo por ser el trabajador del mes por tu conocimiento y tu esfuerzo  en tu area</t>
  </si>
  <si>
    <t xml:space="preserve">una nueva experiencia laboral </t>
  </si>
  <si>
    <t>comercio</t>
  </si>
  <si>
    <t xml:space="preserve">reconocimientos </t>
  </si>
  <si>
    <t>Por nuevas oportunidades que me ayuden a crecer profesionalmente y por un puesto mejor remunerado.</t>
  </si>
  <si>
    <t>capacitaciones que nos ayuden a desarrollar y gestionar estrategias de importación y exportación.</t>
  </si>
  <si>
    <t>Fomentar una ambiente laboral positivo, reconocer los logros, y ofrecer oportunidades que nos permitan desarrollarnos profesionalmente.</t>
  </si>
  <si>
    <t>Por mejoras profecionales</t>
  </si>
  <si>
    <t>------</t>
  </si>
  <si>
    <t xml:space="preserve">Impuestos </t>
  </si>
  <si>
    <t xml:space="preserve">Igualdad </t>
  </si>
  <si>
    <t>Que nos enseñen labores para poder escalar</t>
  </si>
  <si>
    <t xml:space="preserve">Que la remuneracion este acorde al costo de vida y los aumentos sean cada cierto tiempo no estar con el mismo sueldo tanto tiempo </t>
  </si>
  <si>
    <t>Renunciaría si sintiera que no tengo oportunidades de desarrolo profesional dentro de la empresa, ni a mediano ni a largo plazo. Si bien es cierto, DACHASAC ofrece múltiples beneficios e incentivos para todos los trabajadores y es algo que aprecio y tengo que agradecer porque jamás había visto tantos detalles por parte de una entidad en días festivos, y es muy bonito, porque refleja la estima y el compromiso que tiene la empresa con sus colaboradores, con su equipo, sin embargo, si tomara la decisión de irme sería porque busco una oportunidad donde pueda aplicar más mis conocimientos de la carrera profesional que estudié y desarrollarme en áreas que me desafíen y me permitan expandir mi conocimiento y mis habilidades.</t>
  </si>
  <si>
    <t>Me gustaría recibir capacitaciones sobre los procedimientos legales y operativos en aduanas, los procesos de exportación, la gestión logística, cadenas de suministros, análisis de costos, comercio exterior en general.</t>
  </si>
  <si>
    <t>Un aumento de sueldo nunca está de más jajaja, pero por lo pronto, con que me permitan colaborar con otras áreas de la empresa para que yo pueda conocer más sobre los procesos aduaneros y tener la certeza de una oportunidad de crecimiento estaría más que motivada.</t>
  </si>
  <si>
    <t>Motivos personales.</t>
  </si>
  <si>
    <t xml:space="preserve">Ya que somos de otra área, nos gustaría que nos capaciten en temas que no hayamos visto. Pre embarques </t>
  </si>
  <si>
    <t>Estar mejor remunerado, ya que nuestros horarios son rotativos :)</t>
  </si>
  <si>
    <t>Una oferta laboral  donde el salario sea mayor y poder solventar mis gastos.</t>
  </si>
  <si>
    <t>En importacion</t>
  </si>
  <si>
    <t>Aumentar un poco más el sueldo y la renovacion de contratos no sean por poco tiempo, ya que genera una incertidumbre y un poco de tension porque no se sabe si renovarán aun asi ya pasado el año de trabajo, debería extenderse mas el contrato para brindar un poco de seguridad al personal y no estar pensando que deba ir buscando otro empleo porque no se sabe si le renovarán.</t>
  </si>
  <si>
    <t>Ley Ge era de Aduanas y sus modificaciones.</t>
  </si>
  <si>
    <t>El sueldo no va acorde al horario de 12 horas.</t>
  </si>
  <si>
    <t>Procedimientos y documentación.</t>
  </si>
  <si>
    <t xml:space="preserve">Aumentar el sueldo. </t>
  </si>
  <si>
    <t>Tiempo de contrato (Renovaciones por 1 mes o 2); sueldo acorde a experiencia y estudios obtenidos, oportunidades de crecimiento profesional.</t>
  </si>
  <si>
    <t>Regimen de importación, actualizaciones y los nuevos cambios</t>
  </si>
  <si>
    <t>mejorar el tema salarial, tiempos de contrato y oportunidades de crecimiento.</t>
  </si>
  <si>
    <t>El sueldo es bajo en comparación a otras agencias a pesar q se trabaja 12 hiras</t>
  </si>
  <si>
    <t>Actualizacion de la ley general,  procedimientos</t>
  </si>
  <si>
    <t>Subir el sueldo de acuerdo a lo que dicta el mercado, después de pandemia todo a subido y no alcanza</t>
  </si>
  <si>
    <t>SALARIO Y AMBIENTE LABORAL</t>
  </si>
  <si>
    <t>LOS NUEVOS CAMBIOS QUE HACE LA ADUANA</t>
  </si>
  <si>
    <t>Mejorar el ambiente laboral y mejorar de salario e incentivos.</t>
  </si>
  <si>
    <t>Una mejor oferta laboral.</t>
  </si>
  <si>
    <t>Inteligencia artificial y Base de datos.</t>
  </si>
  <si>
    <t>Equidad salarial</t>
  </si>
  <si>
    <t xml:space="preserve">Mejor remuneración </t>
  </si>
  <si>
    <t>Bonificacion depende del volumen de trabajo</t>
  </si>
  <si>
    <t>Mejor sueldo.</t>
  </si>
  <si>
    <t>Análisis de datos.</t>
  </si>
  <si>
    <t>Subir el sueldo.</t>
  </si>
  <si>
    <t>no tendría ningún motivo de renuncia</t>
  </si>
  <si>
    <t xml:space="preserve">en el tema de realizar datos finales </t>
  </si>
  <si>
    <t>por el momento me siento motivada al 100%</t>
  </si>
  <si>
    <t>Una mejor oferta laboral</t>
  </si>
  <si>
    <t>Relacionado a exportaciones y operatividad aduanera</t>
  </si>
  <si>
    <t>Incentivos económicos</t>
  </si>
  <si>
    <t xml:space="preserve">otra propuesta laboral </t>
  </si>
  <si>
    <t xml:space="preserve">en equipos de emergencia </t>
  </si>
  <si>
    <t xml:space="preserve">incentivos </t>
  </si>
  <si>
    <t>Falta de reconocimiento, mal clima laboral , distribución de carga laboral incorrecta.</t>
  </si>
  <si>
    <t>Controlling Financiero</t>
  </si>
  <si>
    <t>Trabajar por objetivos, realizar evaluaciones por desempeño de manera periódica, implementar políticas salariales basados en la responsabilidad , funciones del puesto y nivel académico.</t>
  </si>
  <si>
    <t>Mejoras laborales con un sueldo mayor ,ya que  la situación económica esta alta en los precios de las cosas.</t>
  </si>
  <si>
    <t>Actualizaciones del comercio exterior</t>
  </si>
  <si>
    <t>Siempre estamos motivados por que nos gusta nuestro trabajo ,pero si nos dan incentivos(bonos) cuando se pueda, nos sentiríamos mejor para mejoras en nuestras familias.</t>
  </si>
  <si>
    <t xml:space="preserve">Por aprender más en el tema profesional </t>
  </si>
  <si>
    <t xml:space="preserve">Sobre exportaciones </t>
  </si>
  <si>
    <t xml:space="preserve">. </t>
  </si>
  <si>
    <t xml:space="preserve">cursos de gestión, planillas, talleres </t>
  </si>
  <si>
    <t xml:space="preserve">incentivos, </t>
  </si>
  <si>
    <t xml:space="preserve">La </t>
  </si>
  <si>
    <t xml:space="preserve">La remuneración </t>
  </si>
  <si>
    <t xml:space="preserve">Por  un nuevo salario </t>
  </si>
  <si>
    <t xml:space="preserve">Comercio exterior, Excel avanzado m, etc. </t>
  </si>
  <si>
    <t xml:space="preserve">Premiar a los mejores colaboradores </t>
  </si>
  <si>
    <t>cultura</t>
  </si>
  <si>
    <t>talleres psicologicos</t>
  </si>
  <si>
    <t xml:space="preserve">Porque conseguí otro trabajo con mejor sueldo </t>
  </si>
  <si>
    <t xml:space="preserve">Capacitación del area para los trabajadores </t>
  </si>
  <si>
    <t>MEJOR PROPUESTA SALARIAL</t>
  </si>
  <si>
    <t>EN MOTIVACION</t>
  </si>
  <si>
    <t>VALORAR MAS AL TRABAJADOR, REALIZAR TARDES DEPORTIVAS</t>
  </si>
  <si>
    <t>Mejoria salarial</t>
  </si>
  <si>
    <t>Lga</t>
  </si>
  <si>
    <t>Bonos(sodexo)</t>
  </si>
  <si>
    <t>La remuneración no es la adecuada ni cumple con mis estándares</t>
  </si>
  <si>
    <t xml:space="preserve">Logística y operaciones </t>
  </si>
  <si>
    <t>Incrementar la remuneración</t>
  </si>
  <si>
    <t xml:space="preserve">La Remuneración  </t>
  </si>
  <si>
    <t>Laboral y Aduana</t>
  </si>
  <si>
    <t xml:space="preserve">Igualdad salarial </t>
  </si>
  <si>
    <t>Por viaje</t>
  </si>
  <si>
    <t xml:space="preserve">En exportación </t>
  </si>
  <si>
    <t>Incentivos tal vez</t>
  </si>
  <si>
    <t>Datos finales, liquidación</t>
  </si>
  <si>
    <t>Mejora de la Remuneración, velar por el bienenstar del trabajador, muchas veces mal de salud llegamos a cumplir con las operaciones</t>
  </si>
  <si>
    <t xml:space="preserve">Económico </t>
  </si>
  <si>
    <t>Legal</t>
  </si>
  <si>
    <t>Reconocimiento, incentivos</t>
  </si>
  <si>
    <t>Por el bajo sueldo.</t>
  </si>
  <si>
    <t>Derechos laborales del trabajador</t>
  </si>
  <si>
    <t>Beneficios remunerativos, pago de horas extras, flexibilidad en el horario laboral, aumento de sueldo acorde a la subida del costo de vida.</t>
  </si>
  <si>
    <t xml:space="preserve">Otro trabajo con mejor remuneración </t>
  </si>
  <si>
    <t>Legislacion</t>
  </si>
  <si>
    <t>Capacitarme mas</t>
  </si>
  <si>
    <t>Mejor pago en otro trabajo</t>
  </si>
  <si>
    <t>temas relacionados con procesos de documentación de embarques , procesos de regularizaciones y temas del manejo del SINTAD</t>
  </si>
  <si>
    <t xml:space="preserve">mejorar el pago </t>
  </si>
  <si>
    <t>EL sueldo</t>
  </si>
  <si>
    <t>Operativo</t>
  </si>
  <si>
    <t xml:space="preserve">Aumento de sueldo </t>
  </si>
  <si>
    <t>POR REMUNERACION</t>
  </si>
  <si>
    <t>LEY GENERAL DE ADUANAS</t>
  </si>
  <si>
    <t>AUMENTO DE SUELDO</t>
  </si>
  <si>
    <t>familiar, enfermedad</t>
  </si>
  <si>
    <t>finanzas - Exportaciones</t>
  </si>
  <si>
    <t>brindar cursos de capacitaciones o diplomados para el área.</t>
  </si>
  <si>
    <t>PERSONALES</t>
  </si>
  <si>
    <t xml:space="preserve">DIAS DE INTEGRACION CON LAS AREAS </t>
  </si>
  <si>
    <t>Crecimiento Profesional</t>
  </si>
  <si>
    <t xml:space="preserve">Comercio exterior
</t>
  </si>
  <si>
    <t>Reconocimiento al trabajador del mes, beneficios de descuentos, etc</t>
  </si>
  <si>
    <t>POR BAJA REMUNERACION</t>
  </si>
  <si>
    <t>EN TEMAS DE EXPORTACION</t>
  </si>
  <si>
    <t xml:space="preserve">ACTIVIDADES DEPORTIVAS PARA GENERAR BUEN COMPAREÑISMO </t>
  </si>
  <si>
    <t xml:space="preserve">Oferta laboral </t>
  </si>
  <si>
    <t>Comercio internacional, gestión logística</t>
  </si>
  <si>
    <t xml:space="preserve">Mejor salario, actividades sociales </t>
  </si>
  <si>
    <t>Me gusta mi trabajo, pero el sueldo no me gusta  ya que no me alcanza</t>
  </si>
  <si>
    <t>En las actualizaciones aduaneras, a veces no son del todo claras y necesitamos tenerlo claro al momento de declarar o numerar para no caer en infracciones y demás temas inherentes a nuestro trabajo operativo, como guías, comprobantes de pago, etc.</t>
  </si>
  <si>
    <t xml:space="preserve">En mi caso un aumento de sueldo, sé que hay personal que trabaja de asistentes o que entraron últimamente que ganan mas que yo, eso obviamente no me motiva, creo que doy todo de mí para este trabajo, el trato con los clientes siempre es el mejor y que no se debe ver reflejado mi desmotivación con ellos, ya que no tienen la culpa; pero la vida ha encarecido mucho y lamentablemente el sueldo no me alcanza </t>
  </si>
  <si>
    <t>---</t>
  </si>
  <si>
    <t>Lo rutinario y no pagan horas extras.</t>
  </si>
  <si>
    <t>Contable y financiero</t>
  </si>
  <si>
    <t>Que regrese el incentivo de trabajador del mes</t>
  </si>
  <si>
    <t xml:space="preserve">no hay equidad y no ven el trabajo de le brindamos a la empresa </t>
  </si>
  <si>
    <t xml:space="preserve">de contabilidad </t>
  </si>
  <si>
    <t xml:space="preserve">brindarnos bonos por igual a todos no solo a las areas que ellos decidan </t>
  </si>
  <si>
    <t>Que existe otra propuesta laboral mejor remunerada.</t>
  </si>
  <si>
    <t>Comercio Internacional y Derecho Aduanero</t>
  </si>
  <si>
    <t>*Tener el reconocimiento para todo el equipo, ya que considero que en cuanto a unión de equipo, el nuestro es el más unido respecto de las demás áreas, si esto es premiado, las demás áreas (las mas complicadas en cuanto a personal) podrían esforzarse para mejorar personalmente y eso cambiaría el trato entre personas. 
*Que algunas personas de otras áreas puedan discernir y separar temas laborales con trato personal, ya que me ha pasado que por temas laborales me han quitado hasta el saludo y eso no debería ocurrir.
*Que en los eventos internos la gerencia tenga participación de principio a fin, ya que en los eventos ya sea navidad o alguna otra actividad corporativa, llegan todos y luego del compartir los trabajadores normalmente se quedan solos y creo que el compartir con la gerencia es importante para el desarrollo de los lazos laborales desde el cargo mas simple hasta el mas alto. 
*Que se revise a fondo las remuneraciones percibidas por cada cargo ya que a mi parecer existe personal en otras sedes con menos carga que gana mas, en cuanto a mi remuneración si considero que también se debería de revisar debido a la, carga laborar que tengo.
*Que no solo haya deporte, sino también otros tipos de eventos para la integración del personal.</t>
  </si>
  <si>
    <t>Clima laboral ya que nuestro coordinador debe estar debidamente capacitado y acreditado en SUNAT para que pueda dar un soporte mas claro en las operaciones.</t>
  </si>
  <si>
    <t>Normas y leyea legales</t>
  </si>
  <si>
    <t>VALOR EL ESFUERZO QUE EL COLABORAR HACE EN CADA OPERACION CON INCENTIVOA ECONOMICOS.</t>
  </si>
  <si>
    <t xml:space="preserve">UNA MEJOR PROPUESTA LABORAL </t>
  </si>
  <si>
    <t xml:space="preserve">UNA ESPECIALIDAD EN TRIBUTACION </t>
  </si>
  <si>
    <t xml:space="preserve">QUE REGRESE EL COLABORADOR DEL MES , QUE DEN BONOS DE PRODUCTIVIDAD ,  QUE SEAN JUSTOS CON LOS SUELDOS </t>
  </si>
  <si>
    <t xml:space="preserve">motivo por propuesta mejor en el sueldo </t>
  </si>
  <si>
    <t xml:space="preserve">en todo los temas seria bueno </t>
  </si>
  <si>
    <t xml:space="preserve">alguna reconocimiento  sobre el trabajo y desempeño de cada personal </t>
  </si>
  <si>
    <t xml:space="preserve">Importación </t>
  </si>
  <si>
    <t>Porque el gerente de finanzas no es equitativo con todas las Áreas. Tiene solo a finanzas como favorito y no al resto. Además, la carga laboral aumento y no es retribuido en el sueldo mientras otras personas sin llevar años en la empresa les aumentan rápidamente. Con respecto a mi jefe área no siento que sea líder porque en los momentos cuando mas se necesita por falta de manos nunca nos apoye para poder avanzar.</t>
  </si>
  <si>
    <t>CAPACITACIONES EN SAP , MAESTRIA EN TEMAS FINANCIEROS O CONTABLES QUE APOYEN AL AVANCE DE LA EMPRESA.</t>
  </si>
  <si>
    <t xml:space="preserve">Igualdad para podas las personas y no tener favoritismo. Además, ser un poco mas agradecidos con los trabajos que se matan por la empresa. Por ultimo, que tengamos un aumento de sueldo conforme al trabajo realizado y no solo por grados de estudios o favoritismo(no necesariamente de una misma área sino con el resto). </t>
  </si>
  <si>
    <t>Crecimiento profesional y remuneración (aumento salarial).</t>
  </si>
  <si>
    <t>Procedimientos aduaneros y normativas legales aduaneras por personas especializadas que les guste impartir enseñanza y conocimiento.</t>
  </si>
  <si>
    <t>Si bien el aumento salarial es un factor relevante para todo trabajador, los reconocimientos y el trato equitativo, e incluso justo, para con todos, motivaría a los colaboradores a hacer un mejor trabajo (que no haya preferencias o excepciones insinuando que algunas personas lo merecen y otras no respecto a la jornada y horario laboral como en otras circunstancias).</t>
  </si>
  <si>
    <t>MEJOR PROPUESTA LABORAL</t>
  </si>
  <si>
    <t xml:space="preserve">ESPECIALIZACIÓN A FINES </t>
  </si>
  <si>
    <t xml:space="preserve">DINÁMICAS DE INTEGRACIÓN </t>
  </si>
  <si>
    <t>INCENTIVOS DE MANERA EQUITATIVA - REMUNERACION</t>
  </si>
  <si>
    <t>BONOS DE INCENTIVO</t>
  </si>
  <si>
    <t xml:space="preserve">Por oferta laboral de remuneración </t>
  </si>
  <si>
    <t xml:space="preserve">En temas logísticos. </t>
  </si>
  <si>
    <t xml:space="preserve">Mas reuniones entre cada área , para mejorar la comunicación laboral y puntos de vista. </t>
  </si>
  <si>
    <t xml:space="preserve">Remuneración </t>
  </si>
  <si>
    <t>Costos</t>
  </si>
  <si>
    <t xml:space="preserve">Aumentar remuneración </t>
  </si>
  <si>
    <t>El no considerar todo el tiempo y esfuerzo dedicado a la empresa</t>
  </si>
  <si>
    <t>En el area de exportaciones e importaciones</t>
  </si>
  <si>
    <t>Ayudarnos cuando lo necesitemos</t>
  </si>
  <si>
    <t>MEJORAS SALARIALES</t>
  </si>
  <si>
    <t>LEGISLACION ADUANERA</t>
  </si>
  <si>
    <t>EVALUAR A LOS TRABAJADORES UNA VEZ POR AÑO</t>
  </si>
  <si>
    <t xml:space="preserve">crecimiento profesional </t>
  </si>
  <si>
    <t>gestión del tiempo, resolución de conflictos</t>
  </si>
  <si>
    <t xml:space="preserve">Celebrar los logros y ofrecer recompensas. </t>
  </si>
  <si>
    <t xml:space="preserve">CRECER DE MANERA PROFESIONAL Y REMUNERACION </t>
  </si>
  <si>
    <t xml:space="preserve">PROCESOS OPERATIVOS </t>
  </si>
  <si>
    <t xml:space="preserve">INTEGRACION AL MENOS  UNA VEZ POR SEMANA </t>
  </si>
  <si>
    <t xml:space="preserve">Estrés laboral, baja remuneración, </t>
  </si>
  <si>
    <t xml:space="preserve">Administración, Tributación. </t>
  </si>
  <si>
    <t>tener vacaciones, aumento de sueldo</t>
  </si>
  <si>
    <t xml:space="preserve">Temas personales </t>
  </si>
  <si>
    <t>En temas de actualizaciones sobre incoterms e importaciones, etc</t>
  </si>
  <si>
    <t>Brindar oportunidades de aprendizaje y crecimiento
Ofrecer cursos de formación
Recibir incentivos positivos</t>
  </si>
  <si>
    <t xml:space="preserve">En numerar otras áreas </t>
  </si>
  <si>
    <t>El reconocimiento puede ser y hacia todo el equipo</t>
  </si>
  <si>
    <t>Especialización en gestión de expresas o similares</t>
  </si>
  <si>
    <t>Reconocimiento, considero.</t>
  </si>
  <si>
    <t>Mayor oportunidad de crecimiento y mejora salarial</t>
  </si>
  <si>
    <t>Recursos humanos</t>
  </si>
  <si>
    <t>Hay algunos puntos que deberían tomarse en cuenta.</t>
  </si>
  <si>
    <t xml:space="preserve">Personales </t>
  </si>
  <si>
    <t>todo bien con tal de darle solución algún trabajo encomendado .</t>
  </si>
  <si>
    <t>SEDE</t>
  </si>
  <si>
    <t>CALLAO</t>
  </si>
  <si>
    <t>CHIMBOTE</t>
  </si>
  <si>
    <t>PAITA</t>
  </si>
  <si>
    <t>PISCO</t>
  </si>
  <si>
    <t>SALAVERRY</t>
  </si>
  <si>
    <t>AREQUIPA</t>
  </si>
  <si>
    <t>CHICLAYO</t>
  </si>
  <si>
    <t>TACNA</t>
  </si>
  <si>
    <t>Toma de Decisiones</t>
  </si>
  <si>
    <t>RESULTADOS PREGUNTAS ABIERTAS</t>
  </si>
  <si>
    <t>LISTA DE FRECUENCIAS</t>
  </si>
  <si>
    <t>VALORACIÓN - 
 MOTIVACION</t>
  </si>
  <si>
    <t>%</t>
  </si>
  <si>
    <t>TOTAL DE RESPUESTAS POR PREGUNTA</t>
  </si>
  <si>
    <t>¿En qué aspectos debería mejorar para que recomiende más a DACHASAC?</t>
  </si>
  <si>
    <t>M</t>
  </si>
  <si>
    <t>C</t>
  </si>
  <si>
    <t>Ñ</t>
  </si>
  <si>
    <t>P</t>
  </si>
  <si>
    <t>A</t>
  </si>
  <si>
    <t>D</t>
  </si>
  <si>
    <t>N</t>
  </si>
  <si>
    <t>J</t>
  </si>
  <si>
    <t xml:space="preserve">Relación con mis compañeros de trabajo </t>
  </si>
  <si>
    <t>E</t>
  </si>
  <si>
    <t>I</t>
  </si>
  <si>
    <t>F</t>
  </si>
  <si>
    <t>H</t>
  </si>
  <si>
    <t>K</t>
  </si>
  <si>
    <t>O</t>
  </si>
  <si>
    <t>OTROS</t>
  </si>
  <si>
    <t>CHICLAYO - CHIMBOTE - AREQUIPA - TACNA</t>
  </si>
  <si>
    <t>Este Año</t>
  </si>
  <si>
    <t>De  3 a 5 años</t>
  </si>
  <si>
    <t>De 6 a 10 años</t>
  </si>
  <si>
    <t>De 10 años en adelante</t>
  </si>
  <si>
    <t>De 36 a 45 años</t>
  </si>
  <si>
    <t>TEMAS</t>
  </si>
  <si>
    <t>Actualizacion de la LGA, liquidacion, clasificacion arancelaria</t>
  </si>
  <si>
    <t>analisis e interpretacion de cuentas contables y EEFF</t>
  </si>
  <si>
    <t xml:space="preserve">Aranceles y actualización en imcoterm. </t>
  </si>
  <si>
    <t>BASES Y LEYES DOCUMENTARIOS OPERADORES LOGISTICOS</t>
  </si>
  <si>
    <t>Beneficios por laborar en DACHA</t>
  </si>
  <si>
    <t>Capacitaciones sobre Agenciamiento Aduanero (Temas técnicos)</t>
  </si>
  <si>
    <t>Comercio exterior</t>
  </si>
  <si>
    <t>Contabilidad</t>
  </si>
  <si>
    <t xml:space="preserve">Excel </t>
  </si>
  <si>
    <t xml:space="preserve">Finanzas </t>
  </si>
  <si>
    <t>IMPORTACION Y EXPORTACION</t>
  </si>
  <si>
    <t>Incoterms</t>
  </si>
  <si>
    <t xml:space="preserve">Liquidacion aduanera </t>
  </si>
  <si>
    <t>Logística y gestión empresarial</t>
  </si>
  <si>
    <t>Normas aduaneras</t>
  </si>
  <si>
    <t>Numeración</t>
  </si>
  <si>
    <t>Procedimientos aduananeros</t>
  </si>
  <si>
    <t>Procesos Aduaneros actualizados,capacitación como manejan cada cliente o navieras, operadores.</t>
  </si>
  <si>
    <t>Riesgo y seguridad en el trabajo</t>
  </si>
  <si>
    <t>sistema de aduanas (sintad)</t>
  </si>
  <si>
    <t>Técnica Aduanera</t>
  </si>
  <si>
    <t>Temas de área RRHH</t>
  </si>
  <si>
    <t xml:space="preserve">Temas de documentación aduanera </t>
  </si>
  <si>
    <t>Temas de legislacion aduanaera</t>
  </si>
  <si>
    <t>Temas de tecnologia de reefers</t>
  </si>
  <si>
    <t>Temas legales</t>
  </si>
  <si>
    <t>Temas Legales Aduaneros</t>
  </si>
  <si>
    <t>Temas operativos</t>
  </si>
  <si>
    <t>Actualización Aduanera</t>
  </si>
  <si>
    <t>Tributacion</t>
  </si>
  <si>
    <t>Tecnología AI, Devops, Frontend, backend, base de datos</t>
  </si>
  <si>
    <t>Liderazgo, motivación</t>
  </si>
  <si>
    <t>falta de un ambiente de trabajo positivo y de apoyo.</t>
  </si>
  <si>
    <t xml:space="preserve">No hay equidad y no ven el empeño que pone cada trabajador , y solo se le considera a uno más que el otro </t>
  </si>
  <si>
    <t>cecimiento laboral y profesional</t>
  </si>
  <si>
    <t xml:space="preserve">Mejor reconocimiento para el trabajo realizado en el turno noche, tanto de forma operativa (el trabajo diario). </t>
  </si>
  <si>
    <t>MOTIVOS DE RENUNCIA</t>
  </si>
  <si>
    <t>MOTIVACIÓN</t>
  </si>
  <si>
    <t>Bonos</t>
  </si>
  <si>
    <t>Regreso del Colaborador del mes</t>
  </si>
  <si>
    <t>Actividades de Integración</t>
  </si>
  <si>
    <t>Estabilidad laboral respecto de las renovaciones de contrato</t>
  </si>
  <si>
    <t>Capacitaciones</t>
  </si>
  <si>
    <t>Participación de gerencia en actividades internas (de inicio a fin)</t>
  </si>
  <si>
    <t>Evitar favoritismo - trato justo entre áreas</t>
  </si>
  <si>
    <t>Igualdad Salarial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</si>
</sst>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Arial"/>
      <scheme val="minor"/>
    </font>
    <font>
      <sz val="11"/>
      <color theme="1"/>
      <name val="Arial"/>
      <family val="2"/>
      <scheme val="minor"/>
    </font>
    <font>
      <sz val="11"/>
      <color theme="1"/>
      <name val="Arial"/>
      <family val="2"/>
      <scheme val="minor"/>
    </font>
    <font>
      <b/>
      <sz val="28"/>
      <color rgb="FF0070C0"/>
      <name val="Bahnschrift SemiBold"/>
      <family val="2"/>
    </font>
    <font>
      <b/>
      <sz val="20"/>
      <color theme="0"/>
      <name val="Bahnschrift SemiBold"/>
      <family val="2"/>
    </font>
    <font>
      <b/>
      <sz val="20"/>
      <color rgb="FF0070C0"/>
      <name val="Bahnschrift SemiBold"/>
      <family val="2"/>
    </font>
    <font>
      <sz val="11"/>
      <color theme="1"/>
      <name val="Calibri"/>
      <family val="2"/>
    </font>
    <font>
      <sz val="11"/>
      <color theme="0"/>
      <name val="Arial"/>
      <family val="2"/>
    </font>
    <font>
      <b/>
      <sz val="12"/>
      <color theme="1"/>
      <name val="Calibri"/>
      <family val="2"/>
    </font>
    <font>
      <sz val="11"/>
      <name val="Arial"/>
      <family val="2"/>
    </font>
    <font>
      <sz val="11"/>
      <color theme="1"/>
      <name val="Arial"/>
      <family val="2"/>
    </font>
    <font>
      <b/>
      <sz val="10"/>
      <color theme="0"/>
      <name val="Arial"/>
      <family val="2"/>
    </font>
    <font>
      <b/>
      <sz val="9"/>
      <color rgb="FF000000"/>
      <name val="Arial"/>
      <family val="2"/>
    </font>
    <font>
      <sz val="10"/>
      <color theme="1"/>
      <name val="Arial"/>
      <family val="2"/>
    </font>
    <font>
      <sz val="11"/>
      <color theme="0"/>
      <name val="Calibri"/>
      <family val="2"/>
    </font>
    <font>
      <sz val="11"/>
      <color rgb="FF000000"/>
      <name val="Roboto"/>
    </font>
    <font>
      <sz val="11"/>
      <color rgb="FF000000"/>
      <name val="Arial"/>
      <family val="2"/>
    </font>
    <font>
      <b/>
      <sz val="11"/>
      <color theme="1"/>
      <name val="Calibri"/>
      <family val="2"/>
    </font>
    <font>
      <sz val="10"/>
      <color rgb="FFFF0000"/>
      <name val="Arial"/>
      <family val="2"/>
    </font>
    <font>
      <sz val="10"/>
      <color theme="0"/>
      <name val="Arial"/>
      <family val="2"/>
    </font>
    <font>
      <b/>
      <sz val="10"/>
      <color theme="1"/>
      <name val="Arial"/>
      <family val="2"/>
    </font>
    <font>
      <b/>
      <sz val="11"/>
      <color theme="1"/>
      <name val="Arial"/>
      <family val="2"/>
    </font>
    <font>
      <b/>
      <sz val="11"/>
      <color theme="0"/>
      <name val="Arial"/>
      <family val="2"/>
    </font>
    <font>
      <b/>
      <sz val="9"/>
      <color theme="1"/>
      <name val="Arial"/>
      <family val="2"/>
    </font>
    <font>
      <b/>
      <sz val="16"/>
      <color theme="1"/>
      <name val="Arial"/>
      <family val="2"/>
    </font>
    <font>
      <b/>
      <sz val="16"/>
      <color theme="0"/>
      <name val="Arial"/>
      <family val="2"/>
    </font>
    <font>
      <b/>
      <sz val="12"/>
      <color theme="1"/>
      <name val="Arial"/>
      <family val="2"/>
    </font>
    <font>
      <b/>
      <sz val="14"/>
      <color theme="0"/>
      <name val="Arial"/>
      <family val="2"/>
    </font>
    <font>
      <b/>
      <sz val="18"/>
      <color rgb="FF0070C0"/>
      <name val="Arial"/>
      <family val="2"/>
    </font>
    <font>
      <b/>
      <sz val="14"/>
      <color rgb="FF003300"/>
      <name val="Arial"/>
      <family val="2"/>
    </font>
    <font>
      <b/>
      <sz val="18"/>
      <color rgb="FF595959"/>
      <name val="Arial"/>
      <family val="2"/>
    </font>
    <font>
      <sz val="11"/>
      <color theme="1"/>
      <name val="Arial"/>
      <family val="2"/>
      <scheme val="minor"/>
    </font>
    <font>
      <sz val="11"/>
      <color rgb="FF9C0006"/>
      <name val="Arial"/>
      <family val="2"/>
      <scheme val="minor"/>
    </font>
    <font>
      <sz val="10"/>
      <color theme="1"/>
      <name val="Arial"/>
      <family val="2"/>
      <scheme val="minor"/>
    </font>
    <font>
      <b/>
      <sz val="28"/>
      <color rgb="FF0070C0"/>
      <name val="Arial"/>
      <family val="2"/>
      <scheme val="minor"/>
    </font>
    <font>
      <b/>
      <sz val="10"/>
      <color rgb="FFFFFFFF"/>
      <name val="Arial"/>
      <family val="2"/>
      <scheme val="minor"/>
    </font>
    <font>
      <b/>
      <sz val="9"/>
      <color theme="1"/>
      <name val="Arial"/>
      <family val="2"/>
      <scheme val="minor"/>
    </font>
    <font>
      <sz val="10"/>
      <color rgb="FFFF0000"/>
      <name val="Arial"/>
      <family val="2"/>
      <scheme val="minor"/>
    </font>
    <font>
      <b/>
      <sz val="10"/>
      <color theme="1"/>
      <name val="Arial"/>
      <family val="2"/>
      <scheme val="minor"/>
    </font>
    <font>
      <sz val="8"/>
      <name val="Arial"/>
      <family val="2"/>
      <scheme val="minor"/>
    </font>
    <font>
      <b/>
      <u/>
      <sz val="20"/>
      <color rgb="FF0070C0"/>
      <name val="Arial"/>
      <family val="2"/>
    </font>
    <font>
      <sz val="11"/>
      <color theme="0" tint="-0.499984740745262"/>
      <name val="Arial"/>
      <family val="2"/>
    </font>
    <font>
      <b/>
      <sz val="10"/>
      <color rgb="FFFFFFFF"/>
      <name val="Arial"/>
      <family val="2"/>
    </font>
    <font>
      <sz val="10"/>
      <color theme="0" tint="-0.499984740745262"/>
      <name val="Arial"/>
      <family val="2"/>
    </font>
    <font>
      <b/>
      <sz val="11"/>
      <color rgb="FF0070C0"/>
      <name val="Arial"/>
      <family val="2"/>
    </font>
    <font>
      <sz val="8"/>
      <color theme="1"/>
      <name val="Arial"/>
      <family val="2"/>
    </font>
    <font>
      <sz val="11"/>
      <color theme="0" tint="-0.249977111117893"/>
      <name val="Arial"/>
      <family val="2"/>
    </font>
    <font>
      <sz val="11"/>
      <color theme="1"/>
      <name val="Arial"/>
      <family val="2"/>
    </font>
    <font>
      <b/>
      <sz val="18"/>
      <color rgb="FFC00000"/>
      <name val="Arial"/>
      <family val="2"/>
    </font>
    <font>
      <b/>
      <sz val="14"/>
      <color theme="1"/>
      <name val="Arial"/>
      <family val="2"/>
    </font>
    <font>
      <b/>
      <sz val="14"/>
      <color rgb="FFC00000"/>
      <name val="Arial"/>
      <family val="2"/>
    </font>
    <font>
      <b/>
      <sz val="11"/>
      <color theme="0"/>
      <name val="Arial"/>
      <family val="2"/>
      <scheme val="minor"/>
    </font>
    <font>
      <sz val="11"/>
      <color rgb="FFFF0000"/>
      <name val="Arial"/>
      <family val="2"/>
      <scheme val="minor"/>
    </font>
    <font>
      <b/>
      <sz val="11"/>
      <color theme="1"/>
      <name val="Arial"/>
      <family val="2"/>
      <scheme val="minor"/>
    </font>
    <font>
      <b/>
      <sz val="16"/>
      <color theme="0"/>
      <name val="Arial"/>
      <family val="2"/>
      <scheme val="minor"/>
    </font>
    <font>
      <b/>
      <sz val="18"/>
      <color rgb="FF0070C0"/>
      <name val="Arial"/>
      <family val="2"/>
      <scheme val="minor"/>
    </font>
  </fonts>
  <fills count="45">
    <fill>
      <patternFill patternType="none"/>
    </fill>
    <fill>
      <patternFill patternType="gray125"/>
    </fill>
    <fill>
      <patternFill patternType="solid">
        <fgColor rgb="FF0070C0"/>
        <bgColor rgb="FF0070C0"/>
      </patternFill>
    </fill>
    <fill>
      <patternFill patternType="solid">
        <fgColor rgb="FF9CC2E5"/>
        <bgColor rgb="FF9CC2E5"/>
      </patternFill>
    </fill>
    <fill>
      <patternFill patternType="solid">
        <fgColor rgb="FFFFFFFF"/>
        <bgColor rgb="FFFFFFFF"/>
      </patternFill>
    </fill>
    <fill>
      <patternFill patternType="solid">
        <fgColor rgb="FFF7CAAC"/>
        <bgColor rgb="FFF7CAAC"/>
      </patternFill>
    </fill>
    <fill>
      <patternFill patternType="solid">
        <fgColor rgb="FFFFE598"/>
        <bgColor rgb="FFFFE598"/>
      </patternFill>
    </fill>
    <fill>
      <patternFill patternType="solid">
        <fgColor rgb="FFEAD1DC"/>
        <bgColor rgb="FFEAD1DC"/>
      </patternFill>
    </fill>
    <fill>
      <patternFill patternType="solid">
        <fgColor rgb="FFF9CB9C"/>
        <bgColor rgb="FFF9CB9C"/>
      </patternFill>
    </fill>
    <fill>
      <patternFill patternType="solid">
        <fgColor rgb="FFFFE599"/>
        <bgColor rgb="FFFFE599"/>
      </patternFill>
    </fill>
    <fill>
      <patternFill patternType="solid">
        <fgColor rgb="FFF2F2F2"/>
        <bgColor rgb="FFF2F2F2"/>
      </patternFill>
    </fill>
    <fill>
      <patternFill patternType="solid">
        <fgColor rgb="FF0B5394"/>
        <bgColor rgb="FF0B5394"/>
      </patternFill>
    </fill>
    <fill>
      <patternFill patternType="solid">
        <fgColor rgb="FF66CCFF"/>
        <bgColor rgb="FF66CCFF"/>
      </patternFill>
    </fill>
    <fill>
      <patternFill patternType="solid">
        <fgColor rgb="FFFFD965"/>
        <bgColor rgb="FFFFD965"/>
      </patternFill>
    </fill>
    <fill>
      <patternFill patternType="solid">
        <fgColor rgb="FFFF7C80"/>
        <bgColor rgb="FFFF7C80"/>
      </patternFill>
    </fill>
    <fill>
      <patternFill patternType="solid">
        <fgColor rgb="FFCCFF66"/>
        <bgColor rgb="FFCCFF66"/>
      </patternFill>
    </fill>
    <fill>
      <patternFill patternType="solid">
        <fgColor rgb="FFCCECFF"/>
        <bgColor rgb="FFCCECFF"/>
      </patternFill>
    </fill>
    <fill>
      <patternFill patternType="solid">
        <fgColor theme="4"/>
        <bgColor theme="4"/>
      </patternFill>
    </fill>
    <fill>
      <patternFill patternType="solid">
        <fgColor rgb="FFBFBFBF"/>
        <bgColor rgb="FFBFBFBF"/>
      </patternFill>
    </fill>
    <fill>
      <patternFill patternType="solid">
        <fgColor rgb="FFD8D8D8"/>
        <bgColor rgb="FFD8D8D8"/>
      </patternFill>
    </fill>
    <fill>
      <patternFill patternType="solid">
        <fgColor rgb="FF92D050"/>
        <bgColor rgb="FF92D050"/>
      </patternFill>
    </fill>
    <fill>
      <patternFill patternType="solid">
        <fgColor rgb="FFCCFF99"/>
        <bgColor rgb="FFCCFF99"/>
      </patternFill>
    </fill>
    <fill>
      <patternFill patternType="solid">
        <fgColor theme="0"/>
        <bgColor theme="0"/>
      </patternFill>
    </fill>
    <fill>
      <patternFill patternType="solid">
        <fgColor rgb="FFC0C0C0"/>
        <bgColor rgb="FFC0C0C0"/>
      </patternFill>
    </fill>
    <fill>
      <patternFill patternType="solid">
        <fgColor rgb="FFDEEAF6"/>
        <bgColor rgb="FFDEEAF6"/>
      </patternFill>
    </fill>
    <fill>
      <patternFill patternType="solid">
        <fgColor rgb="FFFFC7CE"/>
      </patternFill>
    </fill>
    <fill>
      <patternFill patternType="solid">
        <fgColor rgb="FF0070C0"/>
        <bgColor indexed="64"/>
      </patternFill>
    </fill>
    <fill>
      <patternFill patternType="solid">
        <fgColor rgb="FF9CC2E5"/>
        <bgColor indexed="64"/>
      </patternFill>
    </fill>
    <fill>
      <patternFill patternType="solid">
        <fgColor rgb="FFFFFFFF"/>
        <bgColor indexed="64"/>
      </patternFill>
    </fill>
    <fill>
      <patternFill patternType="solid">
        <fgColor rgb="FFF7CAAC"/>
        <bgColor indexed="64"/>
      </patternFill>
    </fill>
    <fill>
      <patternFill patternType="solid">
        <fgColor rgb="FFFFE598"/>
        <bgColor indexed="64"/>
      </patternFill>
    </fill>
    <fill>
      <patternFill patternType="solid">
        <fgColor rgb="FFEAD1DC"/>
        <bgColor indexed="64"/>
      </patternFill>
    </fill>
    <fill>
      <patternFill patternType="solid">
        <fgColor rgb="FFF9CB9C"/>
        <bgColor indexed="64"/>
      </patternFill>
    </fill>
    <fill>
      <patternFill patternType="solid">
        <fgColor rgb="FFFFE599"/>
        <bgColor indexed="64"/>
      </patternFill>
    </fill>
    <fill>
      <patternFill patternType="solid">
        <fgColor rgb="FFFEF2CB"/>
        <bgColor indexed="64"/>
      </patternFill>
    </fill>
    <fill>
      <patternFill patternType="solid">
        <fgColor rgb="FF8EAADB"/>
        <bgColor rgb="FF8EAADB"/>
      </patternFill>
    </fill>
    <fill>
      <patternFill patternType="solid">
        <fgColor rgb="FFFFCCCC"/>
        <bgColor indexed="64"/>
      </patternFill>
    </fill>
    <fill>
      <patternFill patternType="solid">
        <fgColor rgb="FFFFFF00"/>
        <bgColor indexed="64"/>
      </patternFill>
    </fill>
    <fill>
      <patternFill patternType="solid">
        <fgColor rgb="FFCCFF66"/>
        <bgColor indexed="64"/>
      </patternFill>
    </fill>
    <fill>
      <patternFill patternType="solid">
        <fgColor theme="7" tint="0.39997558519241921"/>
        <bgColor indexed="64"/>
      </patternFill>
    </fill>
    <fill>
      <patternFill patternType="solid">
        <fgColor theme="9" tint="0.59999389629810485"/>
        <bgColor rgb="FFD8D8D8"/>
      </patternFill>
    </fill>
    <fill>
      <patternFill patternType="solid">
        <fgColor theme="7" tint="0.59999389629810485"/>
        <bgColor rgb="FFD8D8D8"/>
      </patternFill>
    </fill>
    <fill>
      <patternFill patternType="solid">
        <fgColor theme="6" tint="0.79998168889431442"/>
        <bgColor indexed="64"/>
      </patternFill>
    </fill>
    <fill>
      <patternFill patternType="solid">
        <fgColor rgb="FF00B0F0"/>
        <bgColor indexed="64"/>
      </patternFill>
    </fill>
    <fill>
      <patternFill patternType="solid">
        <fgColor theme="8" tint="0.79998168889431442"/>
        <bgColor indexed="64"/>
      </patternFill>
    </fill>
  </fills>
  <borders count="6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style="thin">
        <color theme="0" tint="-0.14999847407452621"/>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9">
    <xf numFmtId="0" fontId="0" fillId="0" borderId="0"/>
    <xf numFmtId="9" fontId="31" fillId="0" borderId="0" applyFont="0" applyFill="0" applyBorder="0" applyAlignment="0" applyProtection="0"/>
    <xf numFmtId="0" fontId="32" fillId="25" borderId="0" applyNumberFormat="0" applyBorder="0" applyAlignment="0" applyProtection="0"/>
    <xf numFmtId="0" fontId="10" fillId="0" borderId="5"/>
    <xf numFmtId="0" fontId="2" fillId="0" borderId="5"/>
    <xf numFmtId="0" fontId="47" fillId="0" borderId="5"/>
    <xf numFmtId="9" fontId="10" fillId="0" borderId="5" applyFont="0" applyFill="0" applyBorder="0" applyAlignment="0" applyProtection="0"/>
    <xf numFmtId="0" fontId="1" fillId="0" borderId="5"/>
    <xf numFmtId="9" fontId="1" fillId="0" borderId="5" applyFont="0" applyFill="0" applyBorder="0" applyAlignment="0" applyProtection="0"/>
  </cellStyleXfs>
  <cellXfs count="317">
    <xf numFmtId="0" fontId="0" fillId="0" borderId="0" xfId="0"/>
    <xf numFmtId="0" fontId="4" fillId="0" borderId="0" xfId="0" applyFont="1" applyAlignment="1">
      <alignment horizontal="center" vertical="center"/>
    </xf>
    <xf numFmtId="0" fontId="5" fillId="0" borderId="0" xfId="0" applyFont="1" applyAlignment="1">
      <alignment vertical="center"/>
    </xf>
    <xf numFmtId="0" fontId="6" fillId="0" borderId="0" xfId="0" applyFont="1"/>
    <xf numFmtId="0" fontId="6" fillId="0" borderId="0" xfId="0" applyFont="1" applyAlignment="1">
      <alignment horizontal="center" vertical="center"/>
    </xf>
    <xf numFmtId="0" fontId="7" fillId="0" borderId="0" xfId="0" applyFont="1" applyAlignment="1">
      <alignment horizontal="center"/>
    </xf>
    <xf numFmtId="0" fontId="10"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vertical="center"/>
    </xf>
    <xf numFmtId="0" fontId="14" fillId="0" borderId="0" xfId="0" applyFont="1" applyAlignment="1">
      <alignment horizontal="center" vertical="center"/>
    </xf>
    <xf numFmtId="0" fontId="15" fillId="4" borderId="5" xfId="0" applyFont="1" applyFill="1" applyBorder="1"/>
    <xf numFmtId="0" fontId="10" fillId="0" borderId="0" xfId="0" applyFont="1"/>
    <xf numFmtId="1" fontId="13" fillId="0" borderId="0" xfId="0" applyNumberFormat="1" applyFont="1" applyAlignment="1">
      <alignment vertical="center"/>
    </xf>
    <xf numFmtId="0" fontId="16" fillId="0" borderId="0" xfId="0" applyFont="1" applyAlignment="1">
      <alignment horizontal="left" vertical="center"/>
    </xf>
    <xf numFmtId="0" fontId="13" fillId="0" borderId="0" xfId="0" applyFont="1"/>
    <xf numFmtId="0" fontId="19" fillId="0" borderId="0" xfId="0" applyFont="1" applyAlignment="1">
      <alignment horizontal="center"/>
    </xf>
    <xf numFmtId="0" fontId="5" fillId="0" borderId="0" xfId="0" applyFont="1" applyAlignment="1">
      <alignment horizontal="center" vertical="center"/>
    </xf>
    <xf numFmtId="0" fontId="21" fillId="0" borderId="8" xfId="0" applyFont="1" applyBorder="1" applyAlignment="1">
      <alignment horizontal="left" vertical="center"/>
    </xf>
    <xf numFmtId="0" fontId="10" fillId="0" borderId="8" xfId="0" applyFont="1" applyBorder="1" applyAlignment="1">
      <alignment horizontal="center" vertical="center"/>
    </xf>
    <xf numFmtId="0" fontId="10" fillId="0" borderId="2" xfId="0" applyFont="1" applyBorder="1" applyAlignment="1">
      <alignment horizontal="center" vertical="center"/>
    </xf>
    <xf numFmtId="0" fontId="21" fillId="10" borderId="2" xfId="0" applyFont="1" applyFill="1" applyBorder="1" applyAlignment="1">
      <alignment horizontal="center" vertical="center"/>
    </xf>
    <xf numFmtId="0" fontId="11" fillId="11" borderId="2" xfId="0" applyFont="1" applyFill="1" applyBorder="1" applyAlignment="1">
      <alignment horizontal="center" vertical="center" wrapText="1"/>
    </xf>
    <xf numFmtId="1" fontId="13" fillId="12" borderId="7" xfId="0" applyNumberFormat="1" applyFont="1" applyFill="1" applyBorder="1" applyAlignment="1">
      <alignment horizontal="center" vertical="center" wrapText="1"/>
    </xf>
    <xf numFmtId="49" fontId="13" fillId="12" borderId="7" xfId="0" applyNumberFormat="1" applyFont="1" applyFill="1" applyBorder="1" applyAlignment="1">
      <alignment horizontal="center" vertical="center" wrapText="1"/>
    </xf>
    <xf numFmtId="0" fontId="13" fillId="13" borderId="7" xfId="0" applyFont="1" applyFill="1" applyBorder="1" applyAlignment="1">
      <alignment horizontal="center" vertical="center" wrapText="1"/>
    </xf>
    <xf numFmtId="0" fontId="13" fillId="14" borderId="7" xfId="0" applyFont="1" applyFill="1" applyBorder="1" applyAlignment="1">
      <alignment horizontal="center" vertical="center" wrapText="1"/>
    </xf>
    <xf numFmtId="0" fontId="13" fillId="15" borderId="7" xfId="0" applyFont="1" applyFill="1" applyBorder="1" applyAlignment="1">
      <alignment horizontal="center" vertical="center" wrapText="1"/>
    </xf>
    <xf numFmtId="0" fontId="10" fillId="16" borderId="2" xfId="0" applyFont="1" applyFill="1" applyBorder="1" applyAlignment="1">
      <alignment horizontal="center" vertical="center"/>
    </xf>
    <xf numFmtId="22" fontId="10" fillId="16" borderId="2" xfId="0" applyNumberFormat="1" applyFont="1" applyFill="1" applyBorder="1" applyAlignment="1">
      <alignment horizontal="center" vertical="center"/>
    </xf>
    <xf numFmtId="0" fontId="10" fillId="16" borderId="2" xfId="0" applyFont="1" applyFill="1" applyBorder="1" applyAlignment="1">
      <alignment horizontal="center" vertical="center" wrapText="1"/>
    </xf>
    <xf numFmtId="0" fontId="13" fillId="16" borderId="2" xfId="0" applyFont="1" applyFill="1" applyBorder="1" applyAlignment="1">
      <alignment horizontal="center" vertical="center" wrapText="1"/>
    </xf>
    <xf numFmtId="0" fontId="10" fillId="16" borderId="2" xfId="0" applyFont="1" applyFill="1" applyBorder="1" applyAlignment="1">
      <alignment horizontal="left" vertical="center"/>
    </xf>
    <xf numFmtId="0" fontId="21" fillId="17"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21" fillId="10" borderId="11" xfId="0" applyFont="1" applyFill="1" applyBorder="1" applyAlignment="1">
      <alignment horizontal="center" vertical="center"/>
    </xf>
    <xf numFmtId="0" fontId="21" fillId="10" borderId="12" xfId="0" applyFont="1" applyFill="1" applyBorder="1" applyAlignment="1">
      <alignment horizontal="center" vertical="center"/>
    </xf>
    <xf numFmtId="0" fontId="20" fillId="10" borderId="11" xfId="0" applyFont="1" applyFill="1" applyBorder="1" applyAlignment="1">
      <alignment horizontal="center" vertical="center"/>
    </xf>
    <xf numFmtId="0" fontId="10" fillId="0" borderId="4" xfId="0" applyFont="1" applyBorder="1" applyAlignment="1">
      <alignment horizontal="center" vertical="center"/>
    </xf>
    <xf numFmtId="0" fontId="10" fillId="0" borderId="13" xfId="0" applyFont="1" applyBorder="1" applyAlignment="1">
      <alignment horizontal="center" vertical="center"/>
    </xf>
    <xf numFmtId="0" fontId="20" fillId="10" borderId="14" xfId="0" applyFont="1" applyFill="1" applyBorder="1" applyAlignment="1">
      <alignment horizontal="center" vertical="center" wrapText="1"/>
    </xf>
    <xf numFmtId="0" fontId="20" fillId="10" borderId="7" xfId="0" applyFont="1" applyFill="1" applyBorder="1" applyAlignment="1">
      <alignment horizontal="center" vertical="center"/>
    </xf>
    <xf numFmtId="0" fontId="20" fillId="10" borderId="7"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10" borderId="2" xfId="0" applyFont="1" applyFill="1" applyBorder="1" applyAlignment="1">
      <alignment horizontal="center" vertical="center" wrapText="1"/>
    </xf>
    <xf numFmtId="0" fontId="21" fillId="0" borderId="2" xfId="0" applyFont="1" applyBorder="1" applyAlignment="1">
      <alignment horizontal="center" vertical="center"/>
    </xf>
    <xf numFmtId="0" fontId="21" fillId="3" borderId="7" xfId="0" applyFont="1" applyFill="1" applyBorder="1" applyAlignment="1">
      <alignment horizontal="center" vertical="center"/>
    </xf>
    <xf numFmtId="0" fontId="21" fillId="18" borderId="2" xfId="0" applyFont="1" applyFill="1" applyBorder="1" applyAlignment="1">
      <alignment horizontal="center" vertical="center"/>
    </xf>
    <xf numFmtId="0" fontId="21" fillId="19" borderId="11" xfId="0" applyFont="1" applyFill="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21" fillId="16" borderId="7" xfId="0" applyFont="1" applyFill="1" applyBorder="1" applyAlignment="1">
      <alignment horizontal="center" vertical="center"/>
    </xf>
    <xf numFmtId="0" fontId="21" fillId="21" borderId="7" xfId="0" applyFont="1" applyFill="1" applyBorder="1" applyAlignment="1">
      <alignment horizontal="center" vertical="center"/>
    </xf>
    <xf numFmtId="0" fontId="10" fillId="0" borderId="26" xfId="0" applyFont="1" applyBorder="1"/>
    <xf numFmtId="0" fontId="21" fillId="22" borderId="27" xfId="0" applyFont="1" applyFill="1" applyBorder="1" applyAlignment="1">
      <alignment vertical="center"/>
    </xf>
    <xf numFmtId="0" fontId="10" fillId="22" borderId="28" xfId="0" applyFont="1" applyFill="1" applyBorder="1" applyAlignment="1">
      <alignment horizontal="center" vertical="center"/>
    </xf>
    <xf numFmtId="0" fontId="10" fillId="22" borderId="5" xfId="0" applyFont="1" applyFill="1" applyBorder="1" applyAlignment="1">
      <alignment vertical="center"/>
    </xf>
    <xf numFmtId="0" fontId="10" fillId="22" borderId="29" xfId="0" applyFont="1" applyFill="1" applyBorder="1" applyAlignment="1">
      <alignment horizontal="center" vertical="center"/>
    </xf>
    <xf numFmtId="0" fontId="10" fillId="0" borderId="30" xfId="0" applyFont="1" applyBorder="1"/>
    <xf numFmtId="0" fontId="24" fillId="19" borderId="31" xfId="0" applyFont="1" applyFill="1" applyBorder="1" applyAlignment="1">
      <alignment vertical="top" wrapText="1"/>
    </xf>
    <xf numFmtId="0" fontId="10" fillId="19" borderId="32" xfId="0" applyFont="1" applyFill="1" applyBorder="1" applyAlignment="1">
      <alignment horizontal="center" vertical="center"/>
    </xf>
    <xf numFmtId="0" fontId="10" fillId="19" borderId="33" xfId="0" applyFont="1" applyFill="1" applyBorder="1" applyAlignment="1">
      <alignment vertical="center"/>
    </xf>
    <xf numFmtId="2" fontId="24" fillId="19" borderId="34" xfId="0" applyNumberFormat="1" applyFont="1" applyFill="1" applyBorder="1" applyAlignment="1">
      <alignment horizontal="center" vertical="center" wrapText="1"/>
    </xf>
    <xf numFmtId="0" fontId="24" fillId="0" borderId="23" xfId="0" applyFont="1" applyBorder="1" applyAlignment="1">
      <alignment horizontal="right" vertical="center"/>
    </xf>
    <xf numFmtId="0" fontId="10" fillId="0" borderId="25" xfId="0" applyFont="1" applyBorder="1" applyAlignment="1">
      <alignment horizontal="center" vertical="center"/>
    </xf>
    <xf numFmtId="0" fontId="10" fillId="0" borderId="0" xfId="0" applyFont="1" applyAlignment="1">
      <alignment vertical="center"/>
    </xf>
    <xf numFmtId="2" fontId="26" fillId="0" borderId="34" xfId="0" applyNumberFormat="1" applyFont="1" applyBorder="1" applyAlignment="1">
      <alignment horizontal="center" vertical="center" wrapText="1"/>
    </xf>
    <xf numFmtId="0" fontId="20" fillId="2" borderId="2" xfId="0" applyFont="1" applyFill="1" applyBorder="1" applyAlignment="1">
      <alignment vertical="center"/>
    </xf>
    <xf numFmtId="0" fontId="20" fillId="2" borderId="2" xfId="0" applyFont="1" applyFill="1" applyBorder="1" applyAlignment="1">
      <alignment horizontal="center" vertical="center"/>
    </xf>
    <xf numFmtId="0" fontId="23" fillId="2" borderId="2" xfId="0" applyFont="1" applyFill="1" applyBorder="1" applyAlignment="1">
      <alignment horizontal="center" vertical="center" wrapText="1"/>
    </xf>
    <xf numFmtId="0" fontId="10" fillId="3" borderId="2" xfId="0" applyFont="1" applyFill="1" applyBorder="1" applyAlignment="1">
      <alignment vertical="center"/>
    </xf>
    <xf numFmtId="1" fontId="10" fillId="0" borderId="2" xfId="0" applyNumberFormat="1" applyFont="1" applyBorder="1" applyAlignment="1">
      <alignment horizontal="center" vertical="center"/>
    </xf>
    <xf numFmtId="2" fontId="10" fillId="0" borderId="2" xfId="0" applyNumberFormat="1" applyFont="1" applyBorder="1" applyAlignment="1">
      <alignment horizontal="center" vertical="center"/>
    </xf>
    <xf numFmtId="2" fontId="24" fillId="3" borderId="35" xfId="0" applyNumberFormat="1" applyFont="1" applyFill="1" applyBorder="1" applyAlignment="1">
      <alignment horizontal="center" vertical="center"/>
    </xf>
    <xf numFmtId="0" fontId="10" fillId="16" borderId="2" xfId="0" applyFont="1" applyFill="1" applyBorder="1" applyAlignment="1">
      <alignment vertical="center"/>
    </xf>
    <xf numFmtId="2" fontId="24" fillId="16" borderId="35" xfId="0" applyNumberFormat="1" applyFont="1" applyFill="1" applyBorder="1" applyAlignment="1">
      <alignment horizontal="center" vertical="center"/>
    </xf>
    <xf numFmtId="1" fontId="10" fillId="0" borderId="0" xfId="0" applyNumberFormat="1" applyFont="1" applyAlignment="1">
      <alignment horizontal="center" vertical="center"/>
    </xf>
    <xf numFmtId="1" fontId="10" fillId="0" borderId="0" xfId="0" applyNumberFormat="1" applyFont="1" applyAlignment="1">
      <alignment vertical="center"/>
    </xf>
    <xf numFmtId="0" fontId="10" fillId="0" borderId="36" xfId="0" applyFont="1" applyBorder="1"/>
    <xf numFmtId="0" fontId="10" fillId="0" borderId="37" xfId="0" applyFont="1" applyBorder="1"/>
    <xf numFmtId="1" fontId="10" fillId="0" borderId="37" xfId="0" applyNumberFormat="1" applyFont="1" applyBorder="1" applyAlignment="1">
      <alignment horizontal="center" vertical="center"/>
    </xf>
    <xf numFmtId="1" fontId="10" fillId="0" borderId="37" xfId="0" applyNumberFormat="1" applyFont="1" applyBorder="1"/>
    <xf numFmtId="0" fontId="10" fillId="0" borderId="38" xfId="0" applyFont="1" applyBorder="1"/>
    <xf numFmtId="0" fontId="18" fillId="0" borderId="0" xfId="0" applyFont="1"/>
    <xf numFmtId="0" fontId="10" fillId="22" borderId="28" xfId="0" applyFont="1" applyFill="1" applyBorder="1" applyAlignment="1">
      <alignment vertical="center"/>
    </xf>
    <xf numFmtId="0" fontId="10" fillId="19" borderId="32" xfId="0" applyFont="1" applyFill="1" applyBorder="1" applyAlignment="1">
      <alignment vertical="center"/>
    </xf>
    <xf numFmtId="0" fontId="10" fillId="0" borderId="25" xfId="0" applyFont="1" applyBorder="1" applyAlignment="1">
      <alignment vertical="center"/>
    </xf>
    <xf numFmtId="0" fontId="13" fillId="16" borderId="7" xfId="0" applyFont="1" applyFill="1" applyBorder="1" applyAlignment="1">
      <alignment horizontal="left" vertical="center" wrapText="1"/>
    </xf>
    <xf numFmtId="0" fontId="10" fillId="0" borderId="0" xfId="0" applyFont="1" applyAlignment="1">
      <alignment horizontal="center" vertical="center" wrapText="1"/>
    </xf>
    <xf numFmtId="0" fontId="27" fillId="2" borderId="2"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2" fillId="2" borderId="12" xfId="0" applyFont="1" applyFill="1" applyBorder="1" applyAlignment="1">
      <alignment horizontal="center" vertical="center" wrapText="1"/>
    </xf>
    <xf numFmtId="17" fontId="28" fillId="24" borderId="14" xfId="0" applyNumberFormat="1" applyFont="1" applyFill="1" applyBorder="1" applyAlignment="1">
      <alignment horizontal="center"/>
    </xf>
    <xf numFmtId="0" fontId="29" fillId="15" borderId="5" xfId="0" applyFont="1" applyFill="1" applyBorder="1" applyAlignment="1">
      <alignment horizontal="center" vertical="center"/>
    </xf>
    <xf numFmtId="2" fontId="29" fillId="15" borderId="5" xfId="0" applyNumberFormat="1" applyFont="1" applyFill="1" applyBorder="1" applyAlignment="1">
      <alignment horizontal="center" vertical="center"/>
    </xf>
    <xf numFmtId="2" fontId="29" fillId="15" borderId="40" xfId="0" applyNumberFormat="1" applyFont="1" applyFill="1" applyBorder="1" applyAlignment="1">
      <alignment horizontal="center" vertical="center"/>
    </xf>
    <xf numFmtId="17" fontId="30" fillId="0" borderId="4" xfId="0" applyNumberFormat="1" applyFont="1" applyBorder="1" applyAlignment="1">
      <alignment horizontal="center"/>
    </xf>
    <xf numFmtId="17" fontId="30" fillId="0" borderId="6" xfId="0" applyNumberFormat="1" applyFont="1" applyBorder="1" applyAlignment="1">
      <alignment horizontal="center"/>
    </xf>
    <xf numFmtId="0" fontId="29" fillId="15" borderId="41" xfId="0" applyFont="1" applyFill="1" applyBorder="1" applyAlignment="1">
      <alignment horizontal="center" vertical="center"/>
    </xf>
    <xf numFmtId="0" fontId="29" fillId="15" borderId="42" xfId="0" applyFont="1" applyFill="1" applyBorder="1" applyAlignment="1">
      <alignment horizontal="center" vertical="center"/>
    </xf>
    <xf numFmtId="0" fontId="10" fillId="0" borderId="39" xfId="0" applyFont="1" applyBorder="1" applyAlignment="1">
      <alignment horizontal="center" vertical="center"/>
    </xf>
    <xf numFmtId="0" fontId="20" fillId="10" borderId="14" xfId="0" applyFont="1" applyFill="1" applyBorder="1" applyAlignment="1">
      <alignment horizontal="center" vertical="center"/>
    </xf>
    <xf numFmtId="0" fontId="2" fillId="0" borderId="0" xfId="0" applyFont="1" applyAlignment="1">
      <alignment wrapText="1"/>
    </xf>
    <xf numFmtId="0" fontId="2" fillId="0" borderId="0" xfId="0" applyFont="1" applyAlignment="1">
      <alignment vertical="center" wrapText="1"/>
    </xf>
    <xf numFmtId="0" fontId="2" fillId="0" borderId="37" xfId="0" applyFont="1" applyBorder="1" applyAlignment="1">
      <alignment vertical="center" wrapText="1"/>
    </xf>
    <xf numFmtId="0" fontId="35" fillId="26" borderId="29" xfId="0" applyFont="1" applyFill="1" applyBorder="1" applyAlignment="1">
      <alignment horizontal="center" vertical="center" wrapText="1"/>
    </xf>
    <xf numFmtId="0" fontId="35" fillId="26" borderId="38" xfId="0" applyFont="1" applyFill="1" applyBorder="1" applyAlignment="1">
      <alignment horizontal="center" vertical="center" wrapText="1"/>
    </xf>
    <xf numFmtId="0" fontId="35" fillId="26" borderId="37" xfId="0" applyFont="1" applyFill="1" applyBorder="1" applyAlignment="1">
      <alignment horizontal="center" vertical="center" wrapText="1"/>
    </xf>
    <xf numFmtId="0" fontId="33" fillId="28" borderId="38" xfId="0" applyFont="1" applyFill="1" applyBorder="1" applyAlignment="1">
      <alignment horizontal="center" vertical="center" wrapText="1"/>
    </xf>
    <xf numFmtId="0" fontId="33" fillId="28" borderId="38" xfId="0" applyFont="1" applyFill="1" applyBorder="1" applyAlignment="1">
      <alignment vertical="center" wrapText="1"/>
    </xf>
    <xf numFmtId="0" fontId="2" fillId="28" borderId="38" xfId="0" applyFont="1" applyFill="1" applyBorder="1" applyAlignment="1">
      <alignment vertical="center" wrapText="1"/>
    </xf>
    <xf numFmtId="0" fontId="2" fillId="0" borderId="38" xfId="0" applyFont="1" applyBorder="1" applyAlignment="1">
      <alignment wrapText="1"/>
    </xf>
    <xf numFmtId="0" fontId="33" fillId="0" borderId="38" xfId="0" applyFont="1" applyBorder="1" applyAlignment="1">
      <alignment vertical="center" wrapText="1"/>
    </xf>
    <xf numFmtId="0" fontId="2" fillId="0" borderId="37" xfId="0" applyFont="1" applyBorder="1" applyAlignment="1">
      <alignment wrapText="1"/>
    </xf>
    <xf numFmtId="0" fontId="17" fillId="0" borderId="37" xfId="0" applyFont="1" applyBorder="1" applyAlignment="1">
      <alignment horizontal="center" vertical="center"/>
    </xf>
    <xf numFmtId="0" fontId="2" fillId="0" borderId="32" xfId="0" applyFont="1" applyBorder="1" applyAlignment="1">
      <alignment wrapText="1"/>
    </xf>
    <xf numFmtId="0" fontId="37" fillId="34" borderId="38" xfId="0" applyFont="1" applyFill="1" applyBorder="1" applyAlignment="1">
      <alignment vertical="center" wrapText="1"/>
    </xf>
    <xf numFmtId="0" fontId="2" fillId="0" borderId="38" xfId="0" applyFont="1" applyBorder="1" applyAlignment="1">
      <alignment vertical="center" wrapText="1"/>
    </xf>
    <xf numFmtId="0" fontId="33" fillId="0" borderId="0" xfId="0" applyFont="1" applyAlignment="1">
      <alignment wrapText="1"/>
    </xf>
    <xf numFmtId="0" fontId="33" fillId="0" borderId="37" xfId="0" applyFont="1" applyBorder="1" applyAlignment="1">
      <alignment wrapText="1"/>
    </xf>
    <xf numFmtId="0" fontId="2" fillId="28" borderId="32" xfId="0" applyFont="1" applyFill="1" applyBorder="1" applyAlignment="1">
      <alignment vertical="center" wrapText="1"/>
    </xf>
    <xf numFmtId="0" fontId="38" fillId="0" borderId="38" xfId="0" applyFont="1" applyBorder="1" applyAlignment="1">
      <alignment vertical="center" wrapText="1"/>
    </xf>
    <xf numFmtId="0" fontId="32" fillId="25" borderId="2" xfId="2" applyBorder="1" applyAlignment="1">
      <alignment horizontal="center" vertical="center"/>
    </xf>
    <xf numFmtId="0" fontId="10" fillId="0" borderId="5" xfId="3"/>
    <xf numFmtId="0" fontId="10" fillId="0" borderId="5" xfId="3" applyAlignment="1">
      <alignment horizontal="center" vertical="center"/>
    </xf>
    <xf numFmtId="0" fontId="10" fillId="0" borderId="45" xfId="3" applyBorder="1" applyAlignment="1">
      <alignment horizontal="center" vertical="center"/>
    </xf>
    <xf numFmtId="0" fontId="21" fillId="22" borderId="34" xfId="3" applyFont="1" applyFill="1" applyBorder="1" applyAlignment="1">
      <alignment vertical="center"/>
    </xf>
    <xf numFmtId="0" fontId="10" fillId="22" borderId="34" xfId="3" applyFill="1" applyBorder="1" applyAlignment="1">
      <alignment horizontal="center" vertical="center"/>
    </xf>
    <xf numFmtId="0" fontId="10" fillId="0" borderId="31" xfId="3" applyBorder="1" applyAlignment="1">
      <alignment horizontal="center" vertical="center"/>
    </xf>
    <xf numFmtId="0" fontId="10" fillId="0" borderId="32" xfId="3" applyBorder="1"/>
    <xf numFmtId="0" fontId="10" fillId="12" borderId="46" xfId="3" applyFill="1" applyBorder="1" applyAlignment="1">
      <alignment horizontal="left" vertical="center"/>
    </xf>
    <xf numFmtId="0" fontId="10" fillId="0" borderId="5" xfId="3" applyAlignment="1">
      <alignment vertical="center"/>
    </xf>
    <xf numFmtId="0" fontId="10" fillId="0" borderId="46" xfId="3" applyBorder="1" applyAlignment="1">
      <alignment horizontal="center" vertical="center"/>
    </xf>
    <xf numFmtId="0" fontId="10" fillId="0" borderId="47" xfId="3" applyBorder="1" applyAlignment="1">
      <alignment horizontal="left" vertical="center" wrapText="1"/>
    </xf>
    <xf numFmtId="0" fontId="10" fillId="0" borderId="48" xfId="3" applyBorder="1" applyAlignment="1">
      <alignment vertical="center"/>
    </xf>
    <xf numFmtId="0" fontId="10" fillId="0" borderId="47" xfId="3" applyBorder="1" applyAlignment="1">
      <alignment vertical="center"/>
    </xf>
    <xf numFmtId="0" fontId="10" fillId="0" borderId="47" xfId="3" applyBorder="1" applyAlignment="1">
      <alignment horizontal="center" vertical="center"/>
    </xf>
    <xf numFmtId="0" fontId="10" fillId="0" borderId="49" xfId="3" applyBorder="1"/>
    <xf numFmtId="0" fontId="10" fillId="0" borderId="48" xfId="3" applyBorder="1"/>
    <xf numFmtId="0" fontId="10" fillId="0" borderId="48" xfId="3" applyBorder="1" applyAlignment="1">
      <alignment horizontal="center" vertical="center"/>
    </xf>
    <xf numFmtId="0" fontId="10" fillId="0" borderId="49" xfId="3" applyBorder="1" applyAlignment="1">
      <alignment horizontal="left" vertical="center"/>
    </xf>
    <xf numFmtId="0" fontId="10" fillId="12" borderId="47" xfId="3" applyFill="1" applyBorder="1" applyAlignment="1">
      <alignment horizontal="left" vertical="center" wrapText="1"/>
    </xf>
    <xf numFmtId="0" fontId="10" fillId="12" borderId="48" xfId="3" applyFill="1" applyBorder="1" applyAlignment="1">
      <alignment vertical="center"/>
    </xf>
    <xf numFmtId="0" fontId="10" fillId="0" borderId="5" xfId="3" applyAlignment="1">
      <alignment horizontal="left" wrapText="1"/>
    </xf>
    <xf numFmtId="0" fontId="6" fillId="0" borderId="5" xfId="3" applyFont="1" applyAlignment="1">
      <alignment vertical="center"/>
    </xf>
    <xf numFmtId="0" fontId="40" fillId="0" borderId="5" xfId="3" applyFont="1" applyAlignment="1">
      <alignment horizontal="center" vertical="center"/>
    </xf>
    <xf numFmtId="0" fontId="41" fillId="0" borderId="5" xfId="3" applyFont="1" applyAlignment="1">
      <alignment horizontal="center"/>
    </xf>
    <xf numFmtId="0" fontId="21" fillId="22" borderId="50" xfId="3" applyFont="1" applyFill="1" applyBorder="1" applyAlignment="1">
      <alignment vertical="center"/>
    </xf>
    <xf numFmtId="0" fontId="21" fillId="0" borderId="50" xfId="3" applyFont="1" applyBorder="1" applyAlignment="1">
      <alignment horizontal="center" vertical="center"/>
    </xf>
    <xf numFmtId="0" fontId="10" fillId="4" borderId="42" xfId="3" applyFill="1" applyBorder="1"/>
    <xf numFmtId="0" fontId="10" fillId="4" borderId="42" xfId="3" applyFill="1" applyBorder="1" applyAlignment="1">
      <alignment horizontal="center"/>
    </xf>
    <xf numFmtId="1" fontId="10" fillId="4" borderId="41" xfId="3" applyNumberFormat="1" applyFill="1" applyBorder="1" applyAlignment="1">
      <alignment horizontal="center"/>
    </xf>
    <xf numFmtId="0" fontId="10" fillId="4" borderId="41" xfId="3" applyFill="1" applyBorder="1" applyAlignment="1">
      <alignment horizontal="center"/>
    </xf>
    <xf numFmtId="0" fontId="10" fillId="0" borderId="42" xfId="3" applyBorder="1" applyAlignment="1">
      <alignment horizontal="center"/>
    </xf>
    <xf numFmtId="0" fontId="21" fillId="0" borderId="5" xfId="3" applyFont="1" applyAlignment="1">
      <alignment horizontal="center" vertical="center"/>
    </xf>
    <xf numFmtId="0" fontId="10" fillId="0" borderId="41" xfId="3" applyBorder="1" applyAlignment="1">
      <alignment horizontal="center"/>
    </xf>
    <xf numFmtId="0" fontId="42" fillId="2" borderId="2" xfId="3" applyFont="1" applyFill="1" applyBorder="1" applyAlignment="1">
      <alignment horizontal="center" vertical="center"/>
    </xf>
    <xf numFmtId="0" fontId="42" fillId="2" borderId="17" xfId="3" applyFont="1" applyFill="1" applyBorder="1" applyAlignment="1">
      <alignment horizontal="center" vertical="center"/>
    </xf>
    <xf numFmtId="0" fontId="42" fillId="2" borderId="12" xfId="3" applyFont="1" applyFill="1" applyBorder="1" applyAlignment="1">
      <alignment horizontal="center" vertical="center"/>
    </xf>
    <xf numFmtId="0" fontId="42" fillId="2" borderId="12" xfId="3" applyFont="1" applyFill="1" applyBorder="1" applyAlignment="1">
      <alignment horizontal="center" vertical="center" wrapText="1"/>
    </xf>
    <xf numFmtId="0" fontId="42" fillId="2" borderId="39" xfId="3" applyFont="1" applyFill="1" applyBorder="1" applyAlignment="1">
      <alignment horizontal="center" vertical="center" wrapText="1"/>
    </xf>
    <xf numFmtId="0" fontId="42" fillId="2" borderId="46" xfId="3" applyFont="1" applyFill="1" applyBorder="1" applyAlignment="1">
      <alignment horizontal="center" vertical="center"/>
    </xf>
    <xf numFmtId="0" fontId="42" fillId="2" borderId="47" xfId="3" applyFont="1" applyFill="1" applyBorder="1" applyAlignment="1">
      <alignment horizontal="center" vertical="center"/>
    </xf>
    <xf numFmtId="0" fontId="43" fillId="0" borderId="5" xfId="3" applyFont="1" applyAlignment="1">
      <alignment horizontal="center" vertical="center"/>
    </xf>
    <xf numFmtId="0" fontId="13" fillId="0" borderId="5" xfId="3" applyFont="1" applyAlignment="1">
      <alignment vertical="center"/>
    </xf>
    <xf numFmtId="9" fontId="10" fillId="0" borderId="42" xfId="1" applyFont="1" applyFill="1" applyBorder="1" applyAlignment="1">
      <alignment horizontal="center"/>
    </xf>
    <xf numFmtId="0" fontId="13" fillId="0" borderId="5" xfId="3" applyFont="1" applyAlignment="1">
      <alignment horizontal="center" vertical="center"/>
    </xf>
    <xf numFmtId="9" fontId="10" fillId="0" borderId="46" xfId="1" applyFont="1" applyFill="1" applyBorder="1" applyAlignment="1">
      <alignment horizontal="center"/>
    </xf>
    <xf numFmtId="0" fontId="10" fillId="0" borderId="5" xfId="3" applyAlignment="1">
      <alignment horizontal="center"/>
    </xf>
    <xf numFmtId="9" fontId="41" fillId="0" borderId="5" xfId="1" applyFont="1" applyBorder="1" applyAlignment="1">
      <alignment horizontal="center"/>
    </xf>
    <xf numFmtId="0" fontId="23" fillId="35" borderId="12" xfId="0" applyFont="1" applyFill="1" applyBorder="1" applyAlignment="1">
      <alignment horizontal="center" vertical="center" wrapText="1"/>
    </xf>
    <xf numFmtId="0" fontId="0" fillId="0" borderId="40" xfId="0" applyBorder="1" applyAlignment="1">
      <alignment horizontal="center" vertical="center"/>
    </xf>
    <xf numFmtId="0" fontId="21" fillId="35" borderId="12" xfId="0" applyFont="1" applyFill="1" applyBorder="1" applyAlignment="1">
      <alignment horizontal="center" vertical="center"/>
    </xf>
    <xf numFmtId="0" fontId="45" fillId="36" borderId="54" xfId="0" applyFont="1" applyFill="1" applyBorder="1" applyAlignment="1">
      <alignment horizontal="center" vertical="center"/>
    </xf>
    <xf numFmtId="0" fontId="0" fillId="36" borderId="5" xfId="0" applyFill="1" applyBorder="1" applyAlignment="1">
      <alignment horizontal="left" indent="1"/>
    </xf>
    <xf numFmtId="0" fontId="0" fillId="36" borderId="5" xfId="0" applyFill="1" applyBorder="1" applyAlignment="1">
      <alignment horizontal="center"/>
    </xf>
    <xf numFmtId="0" fontId="45" fillId="0" borderId="54" xfId="0" applyFont="1" applyBorder="1" applyAlignment="1">
      <alignment horizontal="center" vertical="center"/>
    </xf>
    <xf numFmtId="0" fontId="0" fillId="0" borderId="5" xfId="0" applyBorder="1" applyAlignment="1">
      <alignment horizontal="left" indent="1"/>
    </xf>
    <xf numFmtId="0" fontId="0" fillId="0" borderId="5" xfId="0" applyBorder="1" applyAlignment="1">
      <alignment horizontal="center"/>
    </xf>
    <xf numFmtId="0" fontId="45" fillId="0" borderId="56" xfId="0" applyFont="1" applyBorder="1" applyAlignment="1">
      <alignment horizontal="center" vertical="center"/>
    </xf>
    <xf numFmtId="0" fontId="0" fillId="0" borderId="57" xfId="0" applyBorder="1" applyAlignment="1">
      <alignment horizontal="left" indent="1"/>
    </xf>
    <xf numFmtId="0" fontId="0" fillId="0" borderId="57" xfId="0" applyBorder="1" applyAlignment="1">
      <alignment horizontal="center"/>
    </xf>
    <xf numFmtId="0" fontId="46" fillId="0" borderId="0" xfId="0" applyFont="1" applyAlignment="1">
      <alignment horizontal="center"/>
    </xf>
    <xf numFmtId="9" fontId="46" fillId="0" borderId="0" xfId="0" applyNumberFormat="1" applyFont="1" applyAlignment="1">
      <alignment horizontal="center"/>
    </xf>
    <xf numFmtId="17" fontId="48" fillId="0" borderId="5" xfId="5" applyNumberFormat="1" applyFont="1" applyAlignment="1">
      <alignment horizontal="left"/>
    </xf>
    <xf numFmtId="0" fontId="47" fillId="0" borderId="5" xfId="5"/>
    <xf numFmtId="0" fontId="27" fillId="26" borderId="5" xfId="5" applyFont="1" applyFill="1" applyAlignment="1">
      <alignment horizontal="center" vertical="center" wrapText="1"/>
    </xf>
    <xf numFmtId="0" fontId="22" fillId="26" borderId="5" xfId="5" applyFont="1" applyFill="1" applyAlignment="1">
      <alignment horizontal="center" vertical="center" wrapText="1"/>
    </xf>
    <xf numFmtId="0" fontId="47" fillId="0" borderId="5" xfId="5" applyAlignment="1">
      <alignment horizontal="center" vertical="center" wrapText="1"/>
    </xf>
    <xf numFmtId="0" fontId="49" fillId="38" borderId="5" xfId="5" applyFont="1" applyFill="1" applyAlignment="1">
      <alignment horizontal="center" vertical="center"/>
    </xf>
    <xf numFmtId="0" fontId="29" fillId="38" borderId="5" xfId="5" applyFont="1" applyFill="1" applyAlignment="1">
      <alignment horizontal="center" vertical="center"/>
    </xf>
    <xf numFmtId="0" fontId="47" fillId="0" borderId="5" xfId="5" applyAlignment="1">
      <alignment horizontal="center" vertical="center"/>
    </xf>
    <xf numFmtId="0" fontId="49" fillId="39" borderId="5" xfId="5" applyFont="1" applyFill="1" applyAlignment="1">
      <alignment horizontal="center" vertical="center"/>
    </xf>
    <xf numFmtId="0" fontId="50" fillId="39" borderId="5" xfId="5" applyFont="1" applyFill="1" applyAlignment="1">
      <alignment horizontal="center" vertical="center"/>
    </xf>
    <xf numFmtId="0" fontId="21" fillId="38" borderId="5" xfId="5" applyFont="1" applyFill="1" applyAlignment="1">
      <alignment horizontal="center" vertical="center"/>
    </xf>
    <xf numFmtId="0" fontId="22" fillId="26" borderId="5" xfId="5" applyFont="1" applyFill="1" applyAlignment="1">
      <alignment horizontal="right" vertical="center"/>
    </xf>
    <xf numFmtId="0" fontId="25" fillId="26" borderId="5" xfId="5" applyFont="1" applyFill="1" applyAlignment="1">
      <alignment horizontal="center" vertical="center"/>
    </xf>
    <xf numFmtId="0" fontId="47" fillId="0" borderId="5" xfId="5" applyAlignment="1">
      <alignment vertical="center"/>
    </xf>
    <xf numFmtId="2" fontId="29" fillId="38" borderId="5" xfId="5" applyNumberFormat="1" applyFont="1" applyFill="1" applyAlignment="1">
      <alignment horizontal="center" vertical="center"/>
    </xf>
    <xf numFmtId="2" fontId="50" fillId="39" borderId="5" xfId="5" applyNumberFormat="1" applyFont="1" applyFill="1" applyAlignment="1">
      <alignment horizontal="center" vertical="center"/>
    </xf>
    <xf numFmtId="0" fontId="47" fillId="0" borderId="5" xfId="5" applyAlignment="1">
      <alignment horizontal="left" vertical="center"/>
    </xf>
    <xf numFmtId="0" fontId="44" fillId="0" borderId="5" xfId="5" applyFont="1" applyAlignment="1">
      <alignment horizontal="left" vertical="center"/>
    </xf>
    <xf numFmtId="0" fontId="47" fillId="26" borderId="51" xfId="5" applyFill="1" applyBorder="1"/>
    <xf numFmtId="0" fontId="47" fillId="26" borderId="52" xfId="5" applyFill="1" applyBorder="1"/>
    <xf numFmtId="0" fontId="47" fillId="26" borderId="53" xfId="5" applyFill="1" applyBorder="1"/>
    <xf numFmtId="0" fontId="45" fillId="36" borderId="54" xfId="5" applyFont="1" applyFill="1" applyBorder="1" applyAlignment="1">
      <alignment horizontal="center" vertical="center"/>
    </xf>
    <xf numFmtId="0" fontId="47" fillId="36" borderId="5" xfId="5" applyFill="1" applyAlignment="1">
      <alignment horizontal="left" indent="1"/>
    </xf>
    <xf numFmtId="0" fontId="47" fillId="36" borderId="5" xfId="5" applyFill="1" applyAlignment="1">
      <alignment horizontal="center"/>
    </xf>
    <xf numFmtId="9" fontId="10" fillId="36" borderId="55" xfId="6" applyFont="1" applyFill="1" applyBorder="1" applyAlignment="1">
      <alignment horizontal="center"/>
    </xf>
    <xf numFmtId="0" fontId="45" fillId="0" borderId="54" xfId="5" applyFont="1" applyBorder="1" applyAlignment="1">
      <alignment horizontal="center" vertical="center"/>
    </xf>
    <xf numFmtId="0" fontId="47" fillId="0" borderId="5" xfId="5" applyAlignment="1">
      <alignment horizontal="left" indent="1"/>
    </xf>
    <xf numFmtId="0" fontId="47" fillId="0" borderId="5" xfId="5" applyAlignment="1">
      <alignment horizontal="center"/>
    </xf>
    <xf numFmtId="9" fontId="10" fillId="0" borderId="55" xfId="6" applyFont="1" applyBorder="1" applyAlignment="1">
      <alignment horizontal="center"/>
    </xf>
    <xf numFmtId="0" fontId="47" fillId="37" borderId="59" xfId="5" applyFill="1" applyBorder="1" applyAlignment="1">
      <alignment horizontal="left" indent="1"/>
    </xf>
    <xf numFmtId="0" fontId="0" fillId="0" borderId="5" xfId="0" applyBorder="1"/>
    <xf numFmtId="0" fontId="46" fillId="0" borderId="5" xfId="0" applyFont="1" applyBorder="1" applyAlignment="1">
      <alignment horizontal="center"/>
    </xf>
    <xf numFmtId="9" fontId="46" fillId="0" borderId="5" xfId="0" applyNumberFormat="1" applyFont="1" applyBorder="1" applyAlignment="1">
      <alignment horizontal="center"/>
    </xf>
    <xf numFmtId="9" fontId="0" fillId="0" borderId="57" xfId="1" applyFont="1" applyBorder="1" applyAlignment="1">
      <alignment horizontal="center"/>
    </xf>
    <xf numFmtId="0" fontId="46" fillId="0" borderId="5" xfId="5" applyFont="1" applyAlignment="1">
      <alignment horizontal="center"/>
    </xf>
    <xf numFmtId="9" fontId="46" fillId="0" borderId="5" xfId="5" applyNumberFormat="1" applyFont="1" applyAlignment="1">
      <alignment horizontal="center"/>
    </xf>
    <xf numFmtId="0" fontId="47" fillId="26" borderId="56" xfId="5" applyFill="1" applyBorder="1"/>
    <xf numFmtId="0" fontId="47" fillId="26" borderId="57" xfId="5" applyFill="1" applyBorder="1"/>
    <xf numFmtId="0" fontId="47" fillId="26" borderId="58" xfId="5" applyFill="1" applyBorder="1"/>
    <xf numFmtId="0" fontId="36" fillId="27" borderId="44" xfId="0" applyFont="1" applyFill="1" applyBorder="1" applyAlignment="1">
      <alignment horizontal="center" vertical="center" wrapText="1"/>
    </xf>
    <xf numFmtId="0" fontId="36" fillId="27" borderId="43" xfId="0" applyFont="1" applyFill="1" applyBorder="1" applyAlignment="1">
      <alignment horizontal="center" vertical="center" wrapText="1"/>
    </xf>
    <xf numFmtId="0" fontId="36" fillId="27" borderId="29" xfId="0" applyFont="1" applyFill="1" applyBorder="1" applyAlignment="1">
      <alignment horizontal="center" vertical="center" wrapText="1"/>
    </xf>
    <xf numFmtId="0" fontId="34" fillId="0" borderId="0" xfId="0" applyFont="1" applyAlignment="1">
      <alignment horizontal="center" vertical="center" wrapText="1"/>
    </xf>
    <xf numFmtId="0" fontId="8" fillId="0" borderId="37" xfId="0" applyFont="1" applyBorder="1" applyAlignment="1">
      <alignment vertical="center" wrapText="1"/>
    </xf>
    <xf numFmtId="0" fontId="36" fillId="29" borderId="44" xfId="0" applyFont="1" applyFill="1" applyBorder="1" applyAlignment="1">
      <alignment horizontal="center" vertical="center" wrapText="1"/>
    </xf>
    <xf numFmtId="0" fontId="36" fillId="29" borderId="43" xfId="0" applyFont="1" applyFill="1" applyBorder="1" applyAlignment="1">
      <alignment horizontal="center" vertical="center" wrapText="1"/>
    </xf>
    <xf numFmtId="0" fontId="36" fillId="29" borderId="29" xfId="0" applyFont="1" applyFill="1" applyBorder="1" applyAlignment="1">
      <alignment horizontal="center" vertical="center" wrapText="1"/>
    </xf>
    <xf numFmtId="0" fontId="36" fillId="30" borderId="44" xfId="0" applyFont="1" applyFill="1" applyBorder="1" applyAlignment="1">
      <alignment horizontal="center" vertical="center" wrapText="1"/>
    </xf>
    <xf numFmtId="0" fontId="36" fillId="30" borderId="43" xfId="0" applyFont="1" applyFill="1" applyBorder="1" applyAlignment="1">
      <alignment horizontal="center" vertical="center" wrapText="1"/>
    </xf>
    <xf numFmtId="0" fontId="36" fillId="30" borderId="29" xfId="0" applyFont="1" applyFill="1" applyBorder="1" applyAlignment="1">
      <alignment horizontal="center" vertical="center" wrapText="1"/>
    </xf>
    <xf numFmtId="0" fontId="36" fillId="31" borderId="44" xfId="0" applyFont="1" applyFill="1" applyBorder="1" applyAlignment="1">
      <alignment horizontal="center" vertical="center" wrapText="1"/>
    </xf>
    <xf numFmtId="0" fontId="36" fillId="31" borderId="43" xfId="0" applyFont="1" applyFill="1" applyBorder="1" applyAlignment="1">
      <alignment horizontal="center" vertical="center" wrapText="1"/>
    </xf>
    <xf numFmtId="0" fontId="36" fillId="31" borderId="29" xfId="0" applyFont="1" applyFill="1" applyBorder="1" applyAlignment="1">
      <alignment horizontal="center" vertical="center" wrapText="1"/>
    </xf>
    <xf numFmtId="0" fontId="36" fillId="32" borderId="44" xfId="0" applyFont="1" applyFill="1" applyBorder="1" applyAlignment="1">
      <alignment horizontal="center" vertical="center" wrapText="1"/>
    </xf>
    <xf numFmtId="0" fontId="36" fillId="32" borderId="43" xfId="0" applyFont="1" applyFill="1" applyBorder="1" applyAlignment="1">
      <alignment horizontal="center" vertical="center" wrapText="1"/>
    </xf>
    <xf numFmtId="0" fontId="36" fillId="32" borderId="29" xfId="0" applyFont="1" applyFill="1" applyBorder="1" applyAlignment="1">
      <alignment horizontal="center" vertical="center" wrapText="1"/>
    </xf>
    <xf numFmtId="0" fontId="36" fillId="33" borderId="44" xfId="0" applyFont="1" applyFill="1" applyBorder="1" applyAlignment="1">
      <alignment horizontal="center" vertical="center" wrapText="1"/>
    </xf>
    <xf numFmtId="0" fontId="36" fillId="33" borderId="43" xfId="0" applyFont="1" applyFill="1" applyBorder="1" applyAlignment="1">
      <alignment horizontal="center" vertical="center" wrapText="1"/>
    </xf>
    <xf numFmtId="0" fontId="36" fillId="33" borderId="29" xfId="0" applyFont="1" applyFill="1" applyBorder="1" applyAlignment="1">
      <alignment horizontal="center" vertical="center" wrapText="1"/>
    </xf>
    <xf numFmtId="0" fontId="8" fillId="0" borderId="0" xfId="0" applyFont="1" applyAlignment="1">
      <alignment vertical="center" wrapText="1"/>
    </xf>
    <xf numFmtId="0" fontId="20" fillId="12" borderId="21" xfId="0" applyFont="1" applyFill="1" applyBorder="1" applyAlignment="1">
      <alignment horizontal="center" vertical="center"/>
    </xf>
    <xf numFmtId="0" fontId="20" fillId="12" borderId="41" xfId="0" applyFont="1" applyFill="1" applyBorder="1" applyAlignment="1">
      <alignment horizontal="center" vertical="center"/>
    </xf>
    <xf numFmtId="0" fontId="9" fillId="0" borderId="22" xfId="0" applyFont="1" applyBorder="1"/>
    <xf numFmtId="0" fontId="20" fillId="20" borderId="21" xfId="0" applyFont="1" applyFill="1" applyBorder="1" applyAlignment="1">
      <alignment horizontal="center" vertical="center"/>
    </xf>
    <xf numFmtId="0" fontId="20" fillId="20" borderId="41" xfId="0" applyFont="1" applyFill="1" applyBorder="1" applyAlignment="1">
      <alignment horizontal="center" vertical="center"/>
    </xf>
    <xf numFmtId="0" fontId="3" fillId="0" borderId="0" xfId="0" applyFont="1" applyAlignment="1">
      <alignment horizontal="center" vertical="center"/>
    </xf>
    <xf numFmtId="0" fontId="0" fillId="0" borderId="0" xfId="0"/>
    <xf numFmtId="0" fontId="22" fillId="2" borderId="9" xfId="0" applyFont="1" applyFill="1" applyBorder="1" applyAlignment="1">
      <alignment horizontal="left" vertical="center"/>
    </xf>
    <xf numFmtId="0" fontId="9" fillId="0" borderId="10" xfId="0" applyFont="1" applyBorder="1"/>
    <xf numFmtId="0" fontId="21" fillId="18" borderId="9" xfId="0" applyFont="1" applyFill="1" applyBorder="1" applyAlignment="1">
      <alignment horizontal="center" vertical="center"/>
    </xf>
    <xf numFmtId="0" fontId="21" fillId="18" borderId="39" xfId="0" applyFont="1" applyFill="1" applyBorder="1" applyAlignment="1">
      <alignment horizontal="center" vertical="center"/>
    </xf>
    <xf numFmtId="0" fontId="21" fillId="19" borderId="15" xfId="0" applyFont="1" applyFill="1" applyBorder="1" applyAlignment="1">
      <alignment horizontal="center" vertical="center"/>
    </xf>
    <xf numFmtId="0" fontId="21" fillId="19" borderId="18" xfId="0" applyFont="1" applyFill="1" applyBorder="1" applyAlignment="1">
      <alignment horizontal="center" vertical="center"/>
    </xf>
    <xf numFmtId="0" fontId="9" fillId="0" borderId="16" xfId="0" applyFont="1" applyBorder="1"/>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9" fillId="0" borderId="18" xfId="0" applyFont="1" applyBorder="1"/>
    <xf numFmtId="0" fontId="23" fillId="0" borderId="19" xfId="0" applyFont="1" applyBorder="1" applyAlignment="1">
      <alignment horizontal="center" vertical="center"/>
    </xf>
    <xf numFmtId="0" fontId="23" fillId="0" borderId="5" xfId="0" applyFont="1" applyBorder="1" applyAlignment="1">
      <alignment horizontal="center" vertical="center"/>
    </xf>
    <xf numFmtId="0" fontId="23" fillId="0" borderId="20" xfId="0" applyFont="1" applyBorder="1" applyAlignment="1">
      <alignment horizontal="center" vertical="center"/>
    </xf>
    <xf numFmtId="0" fontId="23" fillId="0" borderId="41" xfId="0" applyFont="1" applyBorder="1" applyAlignment="1">
      <alignment horizontal="center" vertical="center"/>
    </xf>
    <xf numFmtId="0" fontId="9" fillId="0" borderId="1" xfId="0" applyFont="1" applyBorder="1"/>
    <xf numFmtId="0" fontId="24" fillId="0" borderId="23" xfId="0" applyFont="1" applyBorder="1" applyAlignment="1">
      <alignment horizontal="center" vertical="center"/>
    </xf>
    <xf numFmtId="0" fontId="9" fillId="0" borderId="24" xfId="0" applyFont="1" applyBorder="1"/>
    <xf numFmtId="0" fontId="9" fillId="0" borderId="25" xfId="0" applyFont="1" applyBorder="1"/>
    <xf numFmtId="0" fontId="25" fillId="2" borderId="23" xfId="0" applyFont="1" applyFill="1" applyBorder="1" applyAlignment="1">
      <alignment horizontal="center" vertical="center"/>
    </xf>
    <xf numFmtId="0" fontId="20" fillId="23" borderId="9" xfId="0" applyFont="1" applyFill="1" applyBorder="1" applyAlignment="1">
      <alignment horizontal="center" vertical="center"/>
    </xf>
    <xf numFmtId="0" fontId="9" fillId="0" borderId="8" xfId="0" applyFont="1" applyBorder="1"/>
    <xf numFmtId="0" fontId="24" fillId="0" borderId="27" xfId="3" applyFont="1" applyBorder="1" applyAlignment="1">
      <alignment horizontal="center" vertical="center"/>
    </xf>
    <xf numFmtId="0" fontId="9" fillId="0" borderId="33" xfId="3" applyFont="1" applyBorder="1"/>
    <xf numFmtId="0" fontId="9" fillId="0" borderId="28" xfId="3" applyFont="1" applyBorder="1"/>
    <xf numFmtId="0" fontId="25" fillId="2" borderId="27" xfId="3" applyFont="1" applyFill="1" applyBorder="1" applyAlignment="1">
      <alignment horizontal="center" vertical="center"/>
    </xf>
    <xf numFmtId="0" fontId="10" fillId="12" borderId="46" xfId="3" applyFill="1" applyBorder="1" applyAlignment="1">
      <alignment horizontal="left" vertical="center"/>
    </xf>
    <xf numFmtId="1" fontId="12" fillId="6" borderId="46" xfId="3" applyNumberFormat="1" applyFont="1" applyFill="1" applyBorder="1" applyAlignment="1">
      <alignment horizontal="center" vertical="center" wrapText="1"/>
    </xf>
    <xf numFmtId="0" fontId="9" fillId="0" borderId="46" xfId="3" applyFont="1" applyBorder="1" applyAlignment="1">
      <alignment wrapText="1"/>
    </xf>
    <xf numFmtId="1" fontId="12" fillId="3" borderId="46" xfId="3" applyNumberFormat="1" applyFont="1" applyFill="1" applyBorder="1" applyAlignment="1">
      <alignment horizontal="center" vertical="center" wrapText="1"/>
    </xf>
    <xf numFmtId="1" fontId="12" fillId="5" borderId="46" xfId="3" applyNumberFormat="1" applyFont="1" applyFill="1" applyBorder="1" applyAlignment="1">
      <alignment horizontal="center" vertical="center" wrapText="1"/>
    </xf>
    <xf numFmtId="1" fontId="12" fillId="7" borderId="46" xfId="3" applyNumberFormat="1" applyFont="1" applyFill="1" applyBorder="1" applyAlignment="1">
      <alignment horizontal="center" vertical="center" wrapText="1"/>
    </xf>
    <xf numFmtId="1" fontId="12" fillId="8" borderId="46" xfId="3" applyNumberFormat="1" applyFont="1" applyFill="1" applyBorder="1" applyAlignment="1">
      <alignment horizontal="center" vertical="center" wrapText="1"/>
    </xf>
    <xf numFmtId="1" fontId="12" fillId="9" borderId="46" xfId="3" applyNumberFormat="1" applyFont="1" applyFill="1" applyBorder="1" applyAlignment="1">
      <alignment horizontal="center" vertical="center" wrapText="1"/>
    </xf>
    <xf numFmtId="0" fontId="54" fillId="26" borderId="46" xfId="0" applyFont="1" applyFill="1" applyBorder="1" applyAlignment="1">
      <alignment horizontal="center" vertical="center" wrapText="1"/>
    </xf>
    <xf numFmtId="0" fontId="51" fillId="26" borderId="46" xfId="0" applyFont="1" applyFill="1" applyBorder="1" applyAlignment="1">
      <alignment horizontal="center" vertical="center" wrapText="1"/>
    </xf>
    <xf numFmtId="2" fontId="24" fillId="19" borderId="46" xfId="0" applyNumberFormat="1" applyFont="1" applyFill="1" applyBorder="1" applyAlignment="1">
      <alignment horizontal="center" vertical="center" wrapText="1"/>
    </xf>
    <xf numFmtId="0" fontId="53" fillId="42" borderId="46" xfId="0" applyFont="1" applyFill="1" applyBorder="1" applyAlignment="1">
      <alignment horizontal="center"/>
    </xf>
    <xf numFmtId="0" fontId="53" fillId="42" borderId="46" xfId="0" applyFont="1" applyFill="1" applyBorder="1" applyAlignment="1">
      <alignment horizontal="center" vertical="center"/>
    </xf>
    <xf numFmtId="2" fontId="24" fillId="40" borderId="46" xfId="0" applyNumberFormat="1" applyFont="1" applyFill="1" applyBorder="1" applyAlignment="1">
      <alignment horizontal="center" vertical="center" wrapText="1"/>
    </xf>
    <xf numFmtId="2" fontId="24" fillId="41" borderId="46" xfId="0" applyNumberFormat="1" applyFont="1" applyFill="1" applyBorder="1" applyAlignment="1">
      <alignment horizontal="center" vertical="center" wrapText="1"/>
    </xf>
    <xf numFmtId="0" fontId="1" fillId="0" borderId="60" xfId="7" applyBorder="1"/>
    <xf numFmtId="0" fontId="1" fillId="0" borderId="61" xfId="7" applyBorder="1"/>
    <xf numFmtId="9" fontId="0" fillId="0" borderId="62" xfId="8" applyFont="1" applyBorder="1"/>
    <xf numFmtId="9" fontId="0" fillId="0" borderId="5" xfId="8" applyFont="1" applyFill="1" applyBorder="1"/>
    <xf numFmtId="0" fontId="1" fillId="0" borderId="5" xfId="7"/>
    <xf numFmtId="0" fontId="1" fillId="0" borderId="63" xfId="7" applyBorder="1"/>
    <xf numFmtId="9" fontId="0" fillId="0" borderId="64" xfId="8" applyFont="1" applyBorder="1"/>
    <xf numFmtId="9" fontId="1" fillId="0" borderId="5" xfId="7" applyNumberFormat="1"/>
    <xf numFmtId="9" fontId="0" fillId="0" borderId="65" xfId="8" applyFont="1" applyBorder="1"/>
    <xf numFmtId="0" fontId="53" fillId="43" borderId="47" xfId="7" applyFont="1" applyFill="1" applyBorder="1"/>
    <xf numFmtId="1" fontId="53" fillId="43" borderId="48" xfId="7" applyNumberFormat="1" applyFont="1" applyFill="1" applyBorder="1"/>
    <xf numFmtId="9" fontId="53" fillId="43" borderId="65" xfId="7" applyNumberFormat="1" applyFont="1" applyFill="1" applyBorder="1"/>
    <xf numFmtId="9" fontId="53" fillId="0" borderId="5" xfId="7" applyNumberFormat="1" applyFont="1"/>
    <xf numFmtId="0" fontId="55" fillId="0" borderId="5" xfId="7" applyFont="1"/>
    <xf numFmtId="9" fontId="0" fillId="0" borderId="5" xfId="8" applyFont="1"/>
    <xf numFmtId="0" fontId="53" fillId="43" borderId="66" xfId="7" applyFont="1" applyFill="1" applyBorder="1"/>
    <xf numFmtId="0" fontId="53" fillId="43" borderId="67" xfId="7" applyFont="1" applyFill="1" applyBorder="1"/>
    <xf numFmtId="0" fontId="55" fillId="44" borderId="46" xfId="7" applyFont="1" applyFill="1" applyBorder="1"/>
    <xf numFmtId="0" fontId="1" fillId="0" borderId="5" xfId="7" applyAlignment="1">
      <alignment horizontal="left" vertical="center" indent="2"/>
    </xf>
    <xf numFmtId="0" fontId="10" fillId="36" borderId="5" xfId="5" applyFont="1" applyFill="1" applyAlignment="1">
      <alignment horizontal="left" indent="1"/>
    </xf>
    <xf numFmtId="0" fontId="55" fillId="44" borderId="46" xfId="7" applyFont="1" applyFill="1" applyBorder="1" applyAlignment="1">
      <alignment horizontal="center"/>
    </xf>
    <xf numFmtId="0" fontId="1" fillId="0" borderId="5" xfId="7" applyAlignment="1">
      <alignment vertical="center"/>
    </xf>
    <xf numFmtId="0" fontId="1" fillId="0" borderId="5" xfId="7" applyAlignment="1"/>
    <xf numFmtId="0" fontId="52" fillId="0" borderId="5" xfId="7" applyFont="1" applyAlignment="1">
      <alignment vertical="center"/>
    </xf>
    <xf numFmtId="0" fontId="52" fillId="0" borderId="5" xfId="7" applyFont="1" applyAlignment="1">
      <alignment vertical="center" wrapText="1"/>
    </xf>
    <xf numFmtId="0" fontId="55" fillId="44" borderId="46" xfId="7" applyFont="1" applyFill="1" applyBorder="1" applyAlignment="1">
      <alignment horizontal="left"/>
    </xf>
  </cellXfs>
  <cellStyles count="9">
    <cellStyle name="Incorrecto" xfId="2" builtinId="27"/>
    <cellStyle name="Normal" xfId="0" builtinId="0"/>
    <cellStyle name="Normal 2" xfId="3" xr:uid="{C52305F6-A5C3-41E8-A97B-9DE3441FD426}"/>
    <cellStyle name="Normal 2 2" xfId="4" xr:uid="{5C10422B-FA2C-4F00-8022-EE95A97B3BB6}"/>
    <cellStyle name="Normal 3" xfId="5" xr:uid="{1C4CAB8E-4997-4442-A0C4-B7608EC3E99C}"/>
    <cellStyle name="Normal 4" xfId="7" xr:uid="{349DE88B-8E04-4CD0-915B-2DD780BE1BBE}"/>
    <cellStyle name="Porcentaje" xfId="1" builtinId="5"/>
    <cellStyle name="Porcentaje 2" xfId="6" xr:uid="{ED93CBE7-1A21-468D-82B3-587ED0A742C2}"/>
    <cellStyle name="Porcentaje 3" xfId="8" xr:uid="{6B2C7A00-D431-4CE2-9FFE-0C39D91470AC}"/>
  </cellStyles>
  <dxfs count="21">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colors>
    <mruColors>
      <color rgb="FFFF6161"/>
      <color rgb="FFFF5050"/>
      <color rgb="FFF8745A"/>
      <color rgb="FFF87D64"/>
      <color rgb="FFF76B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002060"/>
                </a:solidFill>
                <a:latin typeface="Calibri"/>
              </a:defRPr>
            </a:pPr>
            <a:r>
              <a:rPr lang="es-PE" b="1" i="0">
                <a:solidFill>
                  <a:srgbClr val="002060"/>
                </a:solidFill>
                <a:latin typeface="Calibri"/>
              </a:rPr>
              <a:t>VARIABLES</a:t>
            </a:r>
          </a:p>
        </c:rich>
      </c:tx>
      <c:overlay val="0"/>
    </c:title>
    <c:autoTitleDeleted val="0"/>
    <c:plotArea>
      <c:layout/>
      <c:barChart>
        <c:barDir val="col"/>
        <c:grouping val="clustered"/>
        <c:varyColors val="1"/>
        <c:ser>
          <c:idx val="0"/>
          <c:order val="0"/>
          <c:tx>
            <c:v>Valor Promedio</c:v>
          </c:tx>
          <c:spPr>
            <a:solidFill>
              <a:srgbClr val="5B9BD5"/>
            </a:solidFill>
            <a:ln cmpd="sng">
              <a:solidFill>
                <a:srgbClr val="000000"/>
              </a:solidFill>
            </a:ln>
          </c:spPr>
          <c:invertIfNegative val="1"/>
          <c:dLbls>
            <c:spPr>
              <a:noFill/>
              <a:ln>
                <a:noFill/>
              </a:ln>
              <a:effectLst/>
            </c:spPr>
            <c:txPr>
              <a:bodyPr/>
              <a:lstStyle/>
              <a:p>
                <a:pPr lvl="0">
                  <a:defRPr sz="1000" b="1" i="0">
                    <a:solidFill>
                      <a:srgbClr val="FFFFFF"/>
                    </a:solidFill>
                    <a:latin typeface="Calibri"/>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'RESULTADOS 1'!$C$9:$C$11</c:f>
              <c:strCache>
                <c:ptCount val="3"/>
                <c:pt idx="0">
                  <c:v>Potencial Humano</c:v>
                </c:pt>
                <c:pt idx="1">
                  <c:v>Diseño Organizacional</c:v>
                </c:pt>
                <c:pt idx="2">
                  <c:v>Cultura de la Organización</c:v>
                </c:pt>
              </c:strCache>
            </c:strRef>
          </c:cat>
          <c:val>
            <c:numRef>
              <c:f>'RESULTADOS 1'!$J$9:$J$11</c:f>
              <c:numCache>
                <c:formatCode>0.00</c:formatCode>
                <c:ptCount val="3"/>
                <c:pt idx="0">
                  <c:v>78.770604395604394</c:v>
                </c:pt>
                <c:pt idx="1">
                  <c:v>75.046153846153842</c:v>
                </c:pt>
                <c:pt idx="2">
                  <c:v>79.831501831501825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A5-46C5-8969-E80019D3870A}"/>
            </c:ext>
          </c:extLst>
        </c:ser>
        <c:dLbls>
          <c:showLegendKey val="0"/>
          <c:showVal val="0"/>
          <c:showCatName val="0"/>
          <c:showSerName val="0"/>
          <c:showPercent val="0"/>
          <c:showBubbleSize val="0"/>
        </c:dLbls>
        <c:gapWidth val="150"/>
        <c:axId val="450847438"/>
        <c:axId val="466207675"/>
      </c:barChart>
      <c:catAx>
        <c:axId val="450847438"/>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1000" b="1" i="0">
                <a:solidFill>
                  <a:srgbClr val="002060"/>
                </a:solidFill>
                <a:latin typeface="Calibri"/>
              </a:defRPr>
            </a:pPr>
            <a:endParaRPr lang="es-PE"/>
          </a:p>
        </c:txPr>
        <c:crossAx val="466207675"/>
        <c:crosses val="autoZero"/>
        <c:auto val="1"/>
        <c:lblAlgn val="ctr"/>
        <c:lblOffset val="100"/>
        <c:noMultiLvlLbl val="1"/>
      </c:catAx>
      <c:valAx>
        <c:axId val="466207675"/>
        <c:scaling>
          <c:orientation val="minMax"/>
        </c:scaling>
        <c:delete val="0"/>
        <c:axPos val="l"/>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b="0" i="0">
                <a:solidFill>
                  <a:srgbClr val="000000"/>
                </a:solidFill>
                <a:latin typeface="Calibri"/>
              </a:defRPr>
            </a:pPr>
            <a:endParaRPr lang="es-PE"/>
          </a:p>
        </c:txPr>
        <c:crossAx val="450847438"/>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002060"/>
                </a:solidFill>
                <a:latin typeface="Calibri"/>
              </a:defRPr>
            </a:pPr>
            <a:r>
              <a:rPr lang="es-PE" b="1" i="0">
                <a:solidFill>
                  <a:srgbClr val="002060"/>
                </a:solidFill>
                <a:latin typeface="Calibri"/>
              </a:rPr>
              <a:t>SATISFACCIÓN</a:t>
            </a:r>
          </a:p>
        </c:rich>
      </c:tx>
      <c:overlay val="0"/>
    </c:title>
    <c:autoTitleDeleted val="0"/>
    <c:plotArea>
      <c:layout/>
      <c:barChart>
        <c:barDir val="col"/>
        <c:grouping val="clustered"/>
        <c:varyColors val="1"/>
        <c:ser>
          <c:idx val="0"/>
          <c:order val="0"/>
          <c:spPr>
            <a:solidFill>
              <a:srgbClr val="5B9BD5"/>
            </a:solidFill>
            <a:ln cmpd="sng">
              <a:solidFill>
                <a:srgbClr val="000000"/>
              </a:solidFill>
            </a:ln>
          </c:spPr>
          <c:invertIfNegative val="1"/>
          <c:dLbls>
            <c:spPr>
              <a:noFill/>
              <a:ln>
                <a:noFill/>
              </a:ln>
              <a:effectLst/>
            </c:spPr>
            <c:txPr>
              <a:bodyPr/>
              <a:lstStyle/>
              <a:p>
                <a:pPr lvl="0">
                  <a:defRPr sz="1000" b="1" i="0">
                    <a:solidFill>
                      <a:srgbClr val="FFFFFF"/>
                    </a:solidFill>
                    <a:latin typeface="Calibri"/>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'RESULTADOS 2'!$C$13:$C$18</c:f>
              <c:strCache>
                <c:ptCount val="6"/>
                <c:pt idx="0">
                  <c:v>¿Qué tan satisfecho estás de trabajar en DACHASAC?</c:v>
                </c:pt>
                <c:pt idx="1">
                  <c:v>¿Qué tan cómodo se siente al darle sugerencias o comentarios a su jefe inmediato?</c:v>
                </c:pt>
                <c:pt idx="2">
                  <c:v>¿Considera que todo el personal de su área se encuentra enfocada en una meta común?</c:v>
                </c:pt>
                <c:pt idx="3">
                  <c:v>¿Considera que tiene autonomía para llevar a cabo su trabajo?</c:v>
                </c:pt>
                <c:pt idx="4">
                  <c:v>¿Considera que tiene la oportunidad de desarrollarse profesionalmente en DACHASAC?</c:v>
                </c:pt>
                <c:pt idx="5">
                  <c:v>¿Qué tan probable es que usted recomiende a sus amigos o colegas el trabajar para DACHASAC?</c:v>
                </c:pt>
              </c:strCache>
            </c:strRef>
          </c:cat>
          <c:val>
            <c:numRef>
              <c:f>'RESULTADOS 2'!$J$13:$J$18</c:f>
              <c:numCache>
                <c:formatCode>0.00</c:formatCode>
                <c:ptCount val="6"/>
                <c:pt idx="0">
                  <c:v>75.769230769230774</c:v>
                </c:pt>
                <c:pt idx="1">
                  <c:v>76.769230769230759</c:v>
                </c:pt>
                <c:pt idx="2">
                  <c:v>80</c:v>
                </c:pt>
                <c:pt idx="3">
                  <c:v>87.461538461538467</c:v>
                </c:pt>
                <c:pt idx="4">
                  <c:v>72</c:v>
                </c:pt>
                <c:pt idx="5">
                  <c:v>73.307692307692292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9E1-4BFC-8794-20B48D77ED22}"/>
            </c:ext>
          </c:extLst>
        </c:ser>
        <c:dLbls>
          <c:showLegendKey val="0"/>
          <c:showVal val="0"/>
          <c:showCatName val="0"/>
          <c:showSerName val="0"/>
          <c:showPercent val="0"/>
          <c:showBubbleSize val="0"/>
        </c:dLbls>
        <c:gapWidth val="150"/>
        <c:axId val="544575310"/>
        <c:axId val="849971591"/>
      </c:barChart>
      <c:catAx>
        <c:axId val="544575310"/>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1000" b="1" i="0">
                <a:solidFill>
                  <a:srgbClr val="002060"/>
                </a:solidFill>
                <a:latin typeface="Calibri"/>
              </a:defRPr>
            </a:pPr>
            <a:endParaRPr lang="es-PE"/>
          </a:p>
        </c:txPr>
        <c:crossAx val="849971591"/>
        <c:crosses val="autoZero"/>
        <c:auto val="1"/>
        <c:lblAlgn val="ctr"/>
        <c:lblOffset val="100"/>
        <c:noMultiLvlLbl val="1"/>
      </c:catAx>
      <c:valAx>
        <c:axId val="849971591"/>
        <c:scaling>
          <c:orientation val="minMax"/>
        </c:scaling>
        <c:delete val="0"/>
        <c:axPos val="l"/>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b="0" i="0">
                <a:solidFill>
                  <a:srgbClr val="000000"/>
                </a:solidFill>
                <a:latin typeface="Calibri"/>
              </a:defRPr>
            </a:pPr>
            <a:endParaRPr lang="es-PE"/>
          </a:p>
        </c:txPr>
        <c:crossAx val="544575310"/>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16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6976-4954-8121-A3056B92A2B8}"/>
              </c:ext>
            </c:extLst>
          </c:dPt>
          <c:dPt>
            <c:idx val="1"/>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A7-4604-8D28-8BDA5BB3E87E}"/>
              </c:ext>
            </c:extLst>
          </c:dPt>
          <c:dPt>
            <c:idx val="2"/>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A7-4604-8D28-8BDA5BB3E87E}"/>
              </c:ext>
            </c:extLst>
          </c:dPt>
          <c:dPt>
            <c:idx val="3"/>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A7-4604-8D28-8BDA5BB3E87E}"/>
              </c:ext>
            </c:extLst>
          </c:dPt>
          <c:dPt>
            <c:idx val="4"/>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A7-4604-8D28-8BDA5BB3E87E}"/>
              </c:ext>
            </c:extLst>
          </c:dPt>
          <c:dPt>
            <c:idx val="5"/>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1A7-4604-8D28-8BDA5BB3E87E}"/>
              </c:ext>
            </c:extLst>
          </c:dPt>
          <c:dPt>
            <c:idx val="6"/>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1A7-4604-8D28-8BDA5BB3E87E}"/>
              </c:ext>
            </c:extLst>
          </c:dPt>
          <c:dPt>
            <c:idx val="7"/>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1A7-4604-8D28-8BDA5BB3E87E}"/>
              </c:ext>
            </c:extLst>
          </c:dPt>
          <c:dPt>
            <c:idx val="8"/>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1A7-4604-8D28-8BDA5BB3E87E}"/>
              </c:ext>
            </c:extLst>
          </c:dPt>
          <c:dPt>
            <c:idx val="9"/>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1A7-4604-8D28-8BDA5BB3E87E}"/>
              </c:ext>
            </c:extLst>
          </c:dPt>
          <c:dPt>
            <c:idx val="10"/>
            <c:invertIfNegative val="0"/>
            <c:bubble3D val="0"/>
            <c:spPr>
              <a:solidFill>
                <a:schemeClr val="accent1"/>
              </a:soli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1A7-4604-8D28-8BDA5BB3E8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 PREG ABIERTAS'!$B$28:$B$44</c:f>
              <c:strCache>
                <c:ptCount val="17"/>
                <c:pt idx="0">
                  <c:v>Compensación</c:v>
                </c:pt>
                <c:pt idx="1">
                  <c:v>Posibilidad de aprender y desarrollarme</c:v>
                </c:pt>
                <c:pt idx="2">
                  <c:v>Beneficios no remunerativos</c:v>
                </c:pt>
                <c:pt idx="3">
                  <c:v>Reconocimiento</c:v>
                </c:pt>
                <c:pt idx="4">
                  <c:v>Estabilidad laboral</c:v>
                </c:pt>
                <c:pt idx="5">
                  <c:v>Colaboración e interacción con otras Áreas</c:v>
                </c:pt>
                <c:pt idx="6">
                  <c:v>Ambiente laboral</c:v>
                </c:pt>
                <c:pt idx="7">
                  <c:v>Programas de Recursos Humanos</c:v>
                </c:pt>
                <c:pt idx="8">
                  <c:v>Vida integralmente equilibrada</c:v>
                </c:pt>
                <c:pt idx="9">
                  <c:v>Oportunidad de generar valor/impacto con mi trabajo</c:v>
                </c:pt>
                <c:pt idx="10">
                  <c:v>Liderazgo organizacional</c:v>
                </c:pt>
                <c:pt idx="11">
                  <c:v>Relación con mis compañeros de trabajo </c:v>
                </c:pt>
                <c:pt idx="12">
                  <c:v>Cercanía y accesibilidad al lugar del trabajo</c:v>
                </c:pt>
                <c:pt idx="13">
                  <c:v>Relación con mi jefe</c:v>
                </c:pt>
                <c:pt idx="14">
                  <c:v>Condiciones de trabajo</c:v>
                </c:pt>
                <c:pt idx="15">
                  <c:v>Cultura</c:v>
                </c:pt>
                <c:pt idx="16">
                  <c:v>Identificación con el propósito de la organización</c:v>
                </c:pt>
              </c:strCache>
            </c:strRef>
          </c:cat>
          <c:val>
            <c:numRef>
              <c:f>'RESULTADOS PREG ABIERTAS'!$D$28:$D$44</c:f>
              <c:numCache>
                <c:formatCode>0%</c:formatCode>
                <c:ptCount val="17"/>
                <c:pt idx="0">
                  <c:v>0.13833992094861661</c:v>
                </c:pt>
                <c:pt idx="1">
                  <c:v>0.11462450592885376</c:v>
                </c:pt>
                <c:pt idx="2">
                  <c:v>9.8814229249011856E-2</c:v>
                </c:pt>
                <c:pt idx="3">
                  <c:v>9.0909090909090912E-2</c:v>
                </c:pt>
                <c:pt idx="4">
                  <c:v>9.0909090909090912E-2</c:v>
                </c:pt>
                <c:pt idx="5">
                  <c:v>6.7193675889328064E-2</c:v>
                </c:pt>
                <c:pt idx="6">
                  <c:v>6.3241106719367585E-2</c:v>
                </c:pt>
                <c:pt idx="7">
                  <c:v>5.1383399209486168E-2</c:v>
                </c:pt>
                <c:pt idx="8">
                  <c:v>4.7430830039525688E-2</c:v>
                </c:pt>
                <c:pt idx="9">
                  <c:v>4.7430830039525688E-2</c:v>
                </c:pt>
                <c:pt idx="10">
                  <c:v>4.3478260869565216E-2</c:v>
                </c:pt>
                <c:pt idx="11">
                  <c:v>3.5573122529644272E-2</c:v>
                </c:pt>
                <c:pt idx="12">
                  <c:v>3.1620553359683792E-2</c:v>
                </c:pt>
                <c:pt idx="13">
                  <c:v>2.766798418972332E-2</c:v>
                </c:pt>
                <c:pt idx="14">
                  <c:v>2.3715415019762844E-2</c:v>
                </c:pt>
                <c:pt idx="15">
                  <c:v>1.9762845849802372E-2</c:v>
                </c:pt>
                <c:pt idx="16">
                  <c:v>7.9051383399209481E-3</c:v>
                </c:pt>
              </c:numCache>
            </c:numRef>
          </c:val>
          <c:extLst>
            <c:ext xmlns:c16="http://schemas.microsoft.com/office/drawing/2014/chart" uri="{C3380CC4-5D6E-409C-BE32-E72D297353CC}">
              <c16:uniqueId val="{00000012-41A7-4604-8D28-8BDA5BB3E87E}"/>
            </c:ext>
          </c:extLst>
        </c:ser>
        <c:dLbls>
          <c:dLblPos val="outEnd"/>
          <c:showLegendKey val="0"/>
          <c:showVal val="1"/>
          <c:showCatName val="0"/>
          <c:showSerName val="0"/>
          <c:showPercent val="0"/>
          <c:showBubbleSize val="0"/>
        </c:dLbls>
        <c:gapWidth val="100"/>
        <c:overlap val="-24"/>
        <c:axId val="1070440447"/>
        <c:axId val="1070435455"/>
      </c:barChart>
      <c:catAx>
        <c:axId val="1070440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070435455"/>
        <c:crosses val="autoZero"/>
        <c:auto val="1"/>
        <c:lblAlgn val="ctr"/>
        <c:lblOffset val="100"/>
        <c:noMultiLvlLbl val="0"/>
      </c:catAx>
      <c:valAx>
        <c:axId val="1070435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0704404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16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CEA-47B0-9122-926394C0E18F}"/>
              </c:ext>
            </c:extLst>
          </c:dPt>
          <c:dPt>
            <c:idx val="1"/>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10-49AC-ADD2-7ECEB3836EAD}"/>
              </c:ext>
            </c:extLst>
          </c:dPt>
          <c:dPt>
            <c:idx val="2"/>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10-49AC-ADD2-7ECEB3836EAD}"/>
              </c:ext>
            </c:extLst>
          </c:dPt>
          <c:dPt>
            <c:idx val="3"/>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310-49AC-ADD2-7ECEB3836EAD}"/>
              </c:ext>
            </c:extLst>
          </c:dPt>
          <c:dPt>
            <c:idx val="4"/>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310-49AC-ADD2-7ECEB3836EAD}"/>
              </c:ext>
            </c:extLst>
          </c:dPt>
          <c:dPt>
            <c:idx val="5"/>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310-49AC-ADD2-7ECEB3836E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 PREG ABIERTAS'!$B$53:$B$61</c:f>
              <c:strCache>
                <c:ptCount val="9"/>
                <c:pt idx="0">
                  <c:v>Ningún aspecto a mejorar</c:v>
                </c:pt>
                <c:pt idx="1">
                  <c:v>Posibilidad de aprender, retos profesionales</c:v>
                </c:pt>
                <c:pt idx="2">
                  <c:v>Horarios y jornada laboral</c:v>
                </c:pt>
                <c:pt idx="3">
                  <c:v>La comunicación entre los miembros del equipo a todo nivel, sin importar el puesto</c:v>
                </c:pt>
                <c:pt idx="4">
                  <c:v>Tener un trato justo al colaborador sin importar edad, genero ni el puesto</c:v>
                </c:pt>
                <c:pt idx="5">
                  <c:v>Compañerismo entre los miembros del equipo</c:v>
                </c:pt>
                <c:pt idx="6">
                  <c:v>Ambiente de trabajo</c:v>
                </c:pt>
                <c:pt idx="7">
                  <c:v>Enfocarse en brindar la mejor experiencia a nuestros clientes internos y externos</c:v>
                </c:pt>
                <c:pt idx="8">
                  <c:v>Relación con mi jefe</c:v>
                </c:pt>
              </c:strCache>
            </c:strRef>
          </c:cat>
          <c:val>
            <c:numRef>
              <c:f>'RESULTADOS PREG ABIERTAS'!$D$53:$D$61</c:f>
              <c:numCache>
                <c:formatCode>0%</c:formatCode>
                <c:ptCount val="9"/>
                <c:pt idx="0">
                  <c:v>0.18831168831168832</c:v>
                </c:pt>
                <c:pt idx="1">
                  <c:v>0.18831168831168832</c:v>
                </c:pt>
                <c:pt idx="2">
                  <c:v>0.11688311688311688</c:v>
                </c:pt>
                <c:pt idx="3">
                  <c:v>0.11688311688311688</c:v>
                </c:pt>
                <c:pt idx="4">
                  <c:v>0.12337662337662338</c:v>
                </c:pt>
                <c:pt idx="5">
                  <c:v>9.0909090909090912E-2</c:v>
                </c:pt>
                <c:pt idx="6">
                  <c:v>7.792207792207792E-2</c:v>
                </c:pt>
                <c:pt idx="7">
                  <c:v>7.792207792207792E-2</c:v>
                </c:pt>
                <c:pt idx="8">
                  <c:v>1.948051948051948E-2</c:v>
                </c:pt>
              </c:numCache>
            </c:numRef>
          </c:val>
          <c:extLst>
            <c:ext xmlns:c16="http://schemas.microsoft.com/office/drawing/2014/chart" uri="{C3380CC4-5D6E-409C-BE32-E72D297353CC}">
              <c16:uniqueId val="{0000000A-A310-49AC-ADD2-7ECEB3836EAD}"/>
            </c:ext>
          </c:extLst>
        </c:ser>
        <c:dLbls>
          <c:dLblPos val="outEnd"/>
          <c:showLegendKey val="0"/>
          <c:showVal val="1"/>
          <c:showCatName val="0"/>
          <c:showSerName val="0"/>
          <c:showPercent val="0"/>
          <c:showBubbleSize val="0"/>
        </c:dLbls>
        <c:gapWidth val="100"/>
        <c:overlap val="-24"/>
        <c:axId val="950574703"/>
        <c:axId val="950572207"/>
      </c:barChart>
      <c:catAx>
        <c:axId val="950574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950572207"/>
        <c:crosses val="autoZero"/>
        <c:auto val="1"/>
        <c:lblAlgn val="ctr"/>
        <c:lblOffset val="100"/>
        <c:noMultiLvlLbl val="0"/>
      </c:catAx>
      <c:valAx>
        <c:axId val="950572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950574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90-4C69-A45C-F0A93234D241}"/>
              </c:ext>
            </c:extLst>
          </c:dPt>
          <c:dPt>
            <c:idx val="1"/>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90-4C69-A45C-F0A93234D241}"/>
              </c:ext>
            </c:extLst>
          </c:dPt>
          <c:dPt>
            <c:idx val="2"/>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90-4C69-A45C-F0A93234D241}"/>
              </c:ext>
            </c:extLst>
          </c:dPt>
          <c:dPt>
            <c:idx val="3"/>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90-4C69-A45C-F0A93234D241}"/>
              </c:ext>
            </c:extLst>
          </c:dPt>
          <c:dPt>
            <c:idx val="4"/>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590-4C69-A45C-F0A93234D241}"/>
              </c:ext>
            </c:extLst>
          </c:dPt>
          <c:dPt>
            <c:idx val="5"/>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590-4C69-A45C-F0A93234D241}"/>
              </c:ext>
            </c:extLst>
          </c:dPt>
          <c:dPt>
            <c:idx val="6"/>
            <c:invertIfNegative val="0"/>
            <c:bubble3D val="0"/>
            <c:spPr>
              <a:solidFill>
                <a:srgbClr val="FD676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590-4C69-A45C-F0A93234D241}"/>
              </c:ext>
            </c:extLst>
          </c:dPt>
          <c:dPt>
            <c:idx val="7"/>
            <c:invertIfNegative val="0"/>
            <c:bubble3D val="0"/>
            <c:spPr>
              <a:solidFill>
                <a:srgbClr val="FF616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B64B-4062-8EDC-9E696D7FD9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 PREG ABIERTAS'!$B$70:$B$82</c:f>
              <c:strCache>
                <c:ptCount val="12"/>
                <c:pt idx="0">
                  <c:v>Compañerismo entre los miembros del equipo</c:v>
                </c:pt>
                <c:pt idx="1">
                  <c:v>La comunicación entre los mienbros del equipo es fluida a todo nivel, sin importar puesto</c:v>
                </c:pt>
                <c:pt idx="2">
                  <c:v>Ambiente de trabajo</c:v>
                </c:pt>
                <c:pt idx="3">
                  <c:v>Relación con mi jefe</c:v>
                </c:pt>
                <c:pt idx="4">
                  <c:v>Posibilidad de aprender, retos profesionales</c:v>
                </c:pt>
                <c:pt idx="5">
                  <c:v>Se toman en cuenta nuestras opiniones, ideas y suferencias</c:v>
                </c:pt>
                <c:pt idx="6">
                  <c:v>Tener un trato justo al colaborador sin importar edad, genero ni el puesto</c:v>
                </c:pt>
                <c:pt idx="7">
                  <c:v>Enfocarse en brindar la mejor experiencia a nuestros clientes internos y externos</c:v>
                </c:pt>
                <c:pt idx="8">
                  <c:v>Ningún aspecto para valorar</c:v>
                </c:pt>
                <c:pt idx="9">
                  <c:v>Horarios y jornada laboral</c:v>
                </c:pt>
                <c:pt idx="10">
                  <c:v>Tareas de alto impacto</c:v>
                </c:pt>
                <c:pt idx="11">
                  <c:v>Reconocimiento</c:v>
                </c:pt>
              </c:strCache>
            </c:strRef>
          </c:cat>
          <c:val>
            <c:numRef>
              <c:f>'RESULTADOS PREG ABIERTAS'!$D$70:$D$82</c:f>
              <c:numCache>
                <c:formatCode>0%</c:formatCode>
                <c:ptCount val="13"/>
                <c:pt idx="0">
                  <c:v>0.1822429906542056</c:v>
                </c:pt>
                <c:pt idx="1">
                  <c:v>0.14485981308411214</c:v>
                </c:pt>
                <c:pt idx="2">
                  <c:v>0.10280373831775701</c:v>
                </c:pt>
                <c:pt idx="3">
                  <c:v>0.10280373831775701</c:v>
                </c:pt>
                <c:pt idx="4">
                  <c:v>9.3457943925233641E-2</c:v>
                </c:pt>
                <c:pt idx="5">
                  <c:v>8.8785046728971959E-2</c:v>
                </c:pt>
                <c:pt idx="6">
                  <c:v>7.0093457943925228E-2</c:v>
                </c:pt>
                <c:pt idx="7">
                  <c:v>6.5420560747663545E-2</c:v>
                </c:pt>
                <c:pt idx="8">
                  <c:v>5.6074766355140186E-2</c:v>
                </c:pt>
                <c:pt idx="9">
                  <c:v>3.7383177570093455E-2</c:v>
                </c:pt>
                <c:pt idx="10">
                  <c:v>3.2710280373831772E-2</c:v>
                </c:pt>
                <c:pt idx="11">
                  <c:v>2.336448598130841E-2</c:v>
                </c:pt>
              </c:numCache>
            </c:numRef>
          </c:val>
          <c:extLst>
            <c:ext xmlns:c16="http://schemas.microsoft.com/office/drawing/2014/chart" uri="{C3380CC4-5D6E-409C-BE32-E72D297353CC}">
              <c16:uniqueId val="{0000000E-0590-4C69-A45C-F0A93234D241}"/>
            </c:ext>
          </c:extLst>
        </c:ser>
        <c:dLbls>
          <c:dLblPos val="outEnd"/>
          <c:showLegendKey val="0"/>
          <c:showVal val="1"/>
          <c:showCatName val="0"/>
          <c:showSerName val="0"/>
          <c:showPercent val="0"/>
          <c:showBubbleSize val="0"/>
        </c:dLbls>
        <c:gapWidth val="100"/>
        <c:overlap val="-24"/>
        <c:axId val="333768927"/>
        <c:axId val="333771423"/>
      </c:barChart>
      <c:catAx>
        <c:axId val="33376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333771423"/>
        <c:crosses val="autoZero"/>
        <c:auto val="1"/>
        <c:lblAlgn val="ctr"/>
        <c:lblOffset val="100"/>
        <c:noMultiLvlLbl val="0"/>
      </c:catAx>
      <c:valAx>
        <c:axId val="333771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333768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5050"/>
              </a:solidFill>
              <a:ln>
                <a:noFill/>
              </a:ln>
              <a:effectLst/>
            </c:spPr>
            <c:extLst>
              <c:ext xmlns:c16="http://schemas.microsoft.com/office/drawing/2014/chart" uri="{C3380CC4-5D6E-409C-BE32-E72D297353CC}">
                <c16:uniqueId val="{00000001-E0D9-4C95-8C01-AA6890ADEEE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E0D9-4C95-8C01-AA6890ADEEE2}"/>
              </c:ext>
            </c:extLst>
          </c:dPt>
          <c:dPt>
            <c:idx val="2"/>
            <c:invertIfNegative val="0"/>
            <c:bubble3D val="0"/>
            <c:spPr>
              <a:solidFill>
                <a:srgbClr val="00B050"/>
              </a:solidFill>
              <a:ln>
                <a:noFill/>
              </a:ln>
              <a:effectLst/>
            </c:spPr>
            <c:extLst>
              <c:ext xmlns:c16="http://schemas.microsoft.com/office/drawing/2014/chart" uri="{C3380CC4-5D6E-409C-BE32-E72D297353CC}">
                <c16:uniqueId val="{00000005-E0D9-4C95-8C01-AA6890ADEEE2}"/>
              </c:ext>
            </c:extLst>
          </c:dPt>
          <c:dPt>
            <c:idx val="3"/>
            <c:invertIfNegative val="0"/>
            <c:bubble3D val="0"/>
            <c:spPr>
              <a:solidFill>
                <a:srgbClr val="00B050"/>
              </a:solidFill>
              <a:ln>
                <a:noFill/>
              </a:ln>
              <a:effectLst/>
            </c:spPr>
            <c:extLst>
              <c:ext xmlns:c16="http://schemas.microsoft.com/office/drawing/2014/chart" uri="{C3380CC4-5D6E-409C-BE32-E72D297353CC}">
                <c16:uniqueId val="{00000007-E0D9-4C95-8C01-AA6890ADEEE2}"/>
              </c:ext>
            </c:extLst>
          </c:dPt>
          <c:dPt>
            <c:idx val="4"/>
            <c:invertIfNegative val="0"/>
            <c:bubble3D val="0"/>
            <c:spPr>
              <a:solidFill>
                <a:srgbClr val="00B050"/>
              </a:solidFill>
              <a:ln>
                <a:noFill/>
              </a:ln>
              <a:effectLst/>
            </c:spPr>
            <c:extLst>
              <c:ext xmlns:c16="http://schemas.microsoft.com/office/drawing/2014/chart" uri="{C3380CC4-5D6E-409C-BE32-E72D297353CC}">
                <c16:uniqueId val="{00000009-E0D9-4C95-8C01-AA6890ADEE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Hoja1!$B$2:$B$6</c:f>
              <c:strCache>
                <c:ptCount val="5"/>
                <c:pt idx="0">
                  <c:v>Este Año</c:v>
                </c:pt>
                <c:pt idx="1">
                  <c:v>Los próximos 2 años</c:v>
                </c:pt>
                <c:pt idx="2">
                  <c:v>De  3 a 5 años</c:v>
                </c:pt>
                <c:pt idx="3">
                  <c:v>De 6 a 10 años</c:v>
                </c:pt>
                <c:pt idx="4">
                  <c:v>De 10 años en adelante</c:v>
                </c:pt>
              </c:strCache>
            </c:strRef>
          </c:cat>
          <c:val>
            <c:numRef>
              <c:f>Hoja1!$C$2:$C$6</c:f>
              <c:numCache>
                <c:formatCode>General</c:formatCode>
                <c:ptCount val="5"/>
                <c:pt idx="0">
                  <c:v>38</c:v>
                </c:pt>
                <c:pt idx="1">
                  <c:v>40</c:v>
                </c:pt>
                <c:pt idx="2">
                  <c:v>22</c:v>
                </c:pt>
                <c:pt idx="3">
                  <c:v>10</c:v>
                </c:pt>
                <c:pt idx="4">
                  <c:v>20</c:v>
                </c:pt>
              </c:numCache>
            </c:numRef>
          </c:val>
          <c:extLst>
            <c:ext xmlns:c16="http://schemas.microsoft.com/office/drawing/2014/chart" uri="{C3380CC4-5D6E-409C-BE32-E72D297353CC}">
              <c16:uniqueId val="{0000000A-E0D9-4C95-8C01-AA6890ADEEE2}"/>
            </c:ext>
          </c:extLst>
        </c:ser>
        <c:dLbls>
          <c:dLblPos val="outEnd"/>
          <c:showLegendKey val="0"/>
          <c:showVal val="1"/>
          <c:showCatName val="0"/>
          <c:showSerName val="0"/>
          <c:showPercent val="0"/>
          <c:showBubbleSize val="0"/>
        </c:dLbls>
        <c:gapWidth val="219"/>
        <c:overlap val="-27"/>
        <c:axId val="1314190688"/>
        <c:axId val="1314189856"/>
      </c:barChart>
      <c:catAx>
        <c:axId val="131419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PE"/>
          </a:p>
        </c:txPr>
        <c:crossAx val="1314189856"/>
        <c:crosses val="autoZero"/>
        <c:auto val="1"/>
        <c:lblAlgn val="ctr"/>
        <c:lblOffset val="100"/>
        <c:noMultiLvlLbl val="0"/>
      </c:catAx>
      <c:valAx>
        <c:axId val="131418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PE"/>
          </a:p>
        </c:txPr>
        <c:crossAx val="1314190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F5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07-4E94-8BF1-D658C7D7149A}"/>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07-4E94-8BF1-D658C7D7149A}"/>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002060"/>
                    </a:solidFill>
                    <a:latin typeface="+mn-lt"/>
                    <a:ea typeface="+mn-ea"/>
                    <a:cs typeface="+mn-cs"/>
                  </a:defRPr>
                </a:pPr>
                <a:endParaRPr lang="es-P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Hoja1!$B$16:$B$17</c:f>
              <c:strCache>
                <c:ptCount val="2"/>
                <c:pt idx="0">
                  <c:v>FEMENINO</c:v>
                </c:pt>
                <c:pt idx="1">
                  <c:v>MASCULINO</c:v>
                </c:pt>
              </c:strCache>
            </c:strRef>
          </c:cat>
          <c:val>
            <c:numRef>
              <c:f>Hoja1!$D$16:$D$17</c:f>
              <c:numCache>
                <c:formatCode>0%</c:formatCode>
                <c:ptCount val="2"/>
                <c:pt idx="0">
                  <c:v>0.53846153846153844</c:v>
                </c:pt>
                <c:pt idx="1">
                  <c:v>0.46153846153846156</c:v>
                </c:pt>
              </c:numCache>
            </c:numRef>
          </c:val>
          <c:extLst>
            <c:ext xmlns:c16="http://schemas.microsoft.com/office/drawing/2014/chart" uri="{C3380CC4-5D6E-409C-BE32-E72D297353CC}">
              <c16:uniqueId val="{00000004-4A07-4E94-8BF1-D658C7D714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7E-4C1F-8744-52EFF3E03853}"/>
              </c:ext>
            </c:extLst>
          </c:dPt>
          <c:dPt>
            <c:idx val="1"/>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7E-4C1F-8744-52EFF3E03853}"/>
              </c:ext>
            </c:extLst>
          </c:dPt>
          <c:dPt>
            <c:idx val="2"/>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7E-4C1F-8744-52EFF3E03853}"/>
              </c:ext>
            </c:extLst>
          </c:dPt>
          <c:dPt>
            <c:idx val="3"/>
            <c:bubble3D val="0"/>
            <c:spPr>
              <a:solidFill>
                <a:srgbClr val="FF5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7E-4C1F-8744-52EFF3E038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Hoja1!$B$26:$B$29</c:f>
              <c:strCache>
                <c:ptCount val="4"/>
                <c:pt idx="0">
                  <c:v>Menor a 25 años</c:v>
                </c:pt>
                <c:pt idx="1">
                  <c:v>De 25 a 35 años</c:v>
                </c:pt>
                <c:pt idx="2">
                  <c:v>De 36 a 45 años</c:v>
                </c:pt>
                <c:pt idx="3">
                  <c:v>Mayor a 56 años</c:v>
                </c:pt>
              </c:strCache>
            </c:strRef>
          </c:cat>
          <c:val>
            <c:numRef>
              <c:f>Hoja1!$D$26:$D$29</c:f>
              <c:numCache>
                <c:formatCode>0%</c:formatCode>
                <c:ptCount val="4"/>
                <c:pt idx="0">
                  <c:v>0.1</c:v>
                </c:pt>
                <c:pt idx="1">
                  <c:v>0.64615384615384619</c:v>
                </c:pt>
                <c:pt idx="2">
                  <c:v>0.22307692307692309</c:v>
                </c:pt>
                <c:pt idx="3">
                  <c:v>3.0769230769230771E-2</c:v>
                </c:pt>
              </c:numCache>
            </c:numRef>
          </c:val>
          <c:extLst>
            <c:ext xmlns:c16="http://schemas.microsoft.com/office/drawing/2014/chart" uri="{C3380CC4-5D6E-409C-BE32-E72D297353CC}">
              <c16:uniqueId val="{00000008-4C7E-4C1F-8744-52EFF3E038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28575</xdr:rowOff>
    </xdr:from>
    <xdr:ext cx="11525250" cy="17716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0" y="2898938"/>
          <a:ext cx="10692000" cy="176212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Estimado Colaborador,</a:t>
          </a:r>
          <a:endParaRPr sz="1400"/>
        </a:p>
        <a:p>
          <a:pPr marL="0" lvl="0" indent="0" algn="l" rtl="0">
            <a:spcBef>
              <a:spcPts val="0"/>
            </a:spcBef>
            <a:spcAft>
              <a:spcPts val="0"/>
            </a:spcAft>
            <a:buSzPts val="1200"/>
            <a:buFont typeface="Arial"/>
            <a:buNone/>
          </a:pPr>
          <a:endParaRPr sz="1200"/>
        </a:p>
        <a:p>
          <a:pPr marL="0" lvl="0" indent="0" algn="l"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Agradecemos el tiempo destinado al llenado de la siguiente encuesta que tiene el objetivo de conocer y evaluar el nivel de clima laboral en la empresa, de tal manera que nos permita establecer las mejoras o correcciones que sean necesarias. Para ello solicitamos su colaboración al responder la encuesta con la máxima objetividad posible según su propia manera de sentir, pensar y actuar.</a:t>
          </a:r>
          <a:endParaRPr sz="1400"/>
        </a:p>
        <a:p>
          <a:pPr marL="0" lvl="0" indent="0" algn="l" rtl="0">
            <a:spcBef>
              <a:spcPts val="0"/>
            </a:spcBef>
            <a:spcAft>
              <a:spcPts val="0"/>
            </a:spcAft>
            <a:buSzPts val="1200"/>
            <a:buFont typeface="Arial"/>
            <a:buNone/>
          </a:pPr>
          <a:endParaRPr sz="1200"/>
        </a:p>
        <a:p>
          <a:pPr marL="0" lvl="0" indent="0" algn="l"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Les recordamos que este cuestionario es anónimo, la información recogida no será analizada de forma individual y que no producirá efecto negativo alguno sobre los participantes en general, ni sobre ninguno en particular, sino de forma agregada con fines estadísticos.</a:t>
          </a:r>
          <a:endParaRPr sz="1400"/>
        </a:p>
      </xdr:txBody>
    </xdr:sp>
    <xdr:clientData fLocksWithSheet="0"/>
  </xdr:oneCellAnchor>
  <xdr:oneCellAnchor>
    <xdr:from>
      <xdr:col>1</xdr:col>
      <xdr:colOff>0</xdr:colOff>
      <xdr:row>44</xdr:row>
      <xdr:rowOff>180975</xdr:rowOff>
    </xdr:from>
    <xdr:ext cx="3848100" cy="5429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1009650" y="19516725"/>
          <a:ext cx="3848100" cy="5429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0     :  Es definitivamente una respuesta negativa</a:t>
          </a:r>
          <a:endParaRPr sz="1200">
            <a:solidFill>
              <a:schemeClr val="dk1"/>
            </a:solidFill>
            <a:latin typeface="Calibri"/>
            <a:ea typeface="Calibri"/>
            <a:cs typeface="Calibri"/>
            <a:sym typeface="Calibri"/>
          </a:endParaRPr>
        </a:p>
        <a:p>
          <a:pPr marL="0" lvl="0" indent="0" algn="l" rtl="0">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10   :  Es definitivamente positiva.</a:t>
          </a:r>
          <a:endParaRPr sz="1200"/>
        </a:p>
      </xdr:txBody>
    </xdr:sp>
    <xdr:clientData fLocksWithSheet="0"/>
  </xdr:oneCellAnchor>
  <xdr:oneCellAnchor>
    <xdr:from>
      <xdr:col>1</xdr:col>
      <xdr:colOff>114300</xdr:colOff>
      <xdr:row>0</xdr:row>
      <xdr:rowOff>66675</xdr:rowOff>
    </xdr:from>
    <xdr:ext cx="1133475" cy="733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0</xdr:row>
      <xdr:rowOff>28575</xdr:rowOff>
    </xdr:from>
    <xdr:ext cx="1133475" cy="7334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361950</xdr:colOff>
      <xdr:row>30</xdr:row>
      <xdr:rowOff>95250</xdr:rowOff>
    </xdr:from>
    <xdr:ext cx="5772150" cy="2981325"/>
    <xdr:graphicFrame macro="">
      <xdr:nvGraphicFramePr>
        <xdr:cNvPr id="636681565" name="Chart 1">
          <a:extLst>
            <a:ext uri="{FF2B5EF4-FFF2-40B4-BE49-F238E27FC236}">
              <a16:creationId xmlns:a16="http://schemas.microsoft.com/office/drawing/2014/main" id="{00000000-0008-0000-0200-00005DFDF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76200</xdr:colOff>
      <xdr:row>1</xdr:row>
      <xdr:rowOff>142875</xdr:rowOff>
    </xdr:from>
    <xdr:ext cx="666750" cy="4191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161925</xdr:colOff>
      <xdr:row>23</xdr:row>
      <xdr:rowOff>2382</xdr:rowOff>
    </xdr:from>
    <xdr:ext cx="6743700" cy="3543300"/>
    <xdr:graphicFrame macro="">
      <xdr:nvGraphicFramePr>
        <xdr:cNvPr id="1031153848" name="Chart 2">
          <a:extLst>
            <a:ext uri="{FF2B5EF4-FFF2-40B4-BE49-F238E27FC236}">
              <a16:creationId xmlns:a16="http://schemas.microsoft.com/office/drawing/2014/main" id="{00000000-0008-0000-0300-0000B8287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76200</xdr:colOff>
      <xdr:row>1</xdr:row>
      <xdr:rowOff>142875</xdr:rowOff>
    </xdr:from>
    <xdr:ext cx="666750" cy="4191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1057275</xdr:colOff>
      <xdr:row>2</xdr:row>
      <xdr:rowOff>76200</xdr:rowOff>
    </xdr:from>
    <xdr:ext cx="419100" cy="971550"/>
    <xdr:sp macro="" textlink="">
      <xdr:nvSpPr>
        <xdr:cNvPr id="5" name="Shape 5">
          <a:extLst>
            <a:ext uri="{FF2B5EF4-FFF2-40B4-BE49-F238E27FC236}">
              <a16:creationId xmlns:a16="http://schemas.microsoft.com/office/drawing/2014/main" id="{00000000-0008-0000-0400-000005000000}"/>
            </a:ext>
          </a:extLst>
        </xdr:cNvPr>
        <xdr:cNvSpPr/>
      </xdr:nvSpPr>
      <xdr:spPr>
        <a:xfrm rot="10800000">
          <a:off x="5141213" y="3294225"/>
          <a:ext cx="409575" cy="971550"/>
        </a:xfrm>
        <a:prstGeom prst="downArrow">
          <a:avLst>
            <a:gd name="adj1" fmla="val 50000"/>
            <a:gd name="adj2" fmla="val 50000"/>
          </a:avLst>
        </a:prstGeom>
        <a:solidFill>
          <a:srgbClr val="0099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971550</xdr:colOff>
      <xdr:row>3</xdr:row>
      <xdr:rowOff>161925</xdr:rowOff>
    </xdr:from>
    <xdr:ext cx="342900" cy="447675"/>
    <xdr:sp macro="" textlink="">
      <xdr:nvSpPr>
        <xdr:cNvPr id="6" name="Shape 6">
          <a:extLst>
            <a:ext uri="{FF2B5EF4-FFF2-40B4-BE49-F238E27FC236}">
              <a16:creationId xmlns:a16="http://schemas.microsoft.com/office/drawing/2014/main" id="{00000000-0008-0000-0400-000006000000}"/>
            </a:ext>
          </a:extLst>
        </xdr:cNvPr>
        <xdr:cNvSpPr/>
      </xdr:nvSpPr>
      <xdr:spPr>
        <a:xfrm rot="10800000">
          <a:off x="5179313" y="3560925"/>
          <a:ext cx="333375" cy="438150"/>
        </a:xfrm>
        <a:prstGeom prst="downArrow">
          <a:avLst>
            <a:gd name="adj1" fmla="val 50000"/>
            <a:gd name="adj2" fmla="val 50000"/>
          </a:avLst>
        </a:prstGeom>
        <a:solidFill>
          <a:srgbClr val="0099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981075</xdr:colOff>
      <xdr:row>2</xdr:row>
      <xdr:rowOff>133350</xdr:rowOff>
    </xdr:from>
    <xdr:ext cx="342900" cy="419100"/>
    <xdr:sp macro="" textlink="">
      <xdr:nvSpPr>
        <xdr:cNvPr id="7" name="Shape 7">
          <a:extLst>
            <a:ext uri="{FF2B5EF4-FFF2-40B4-BE49-F238E27FC236}">
              <a16:creationId xmlns:a16="http://schemas.microsoft.com/office/drawing/2014/main" id="{00000000-0008-0000-0400-000007000000}"/>
            </a:ext>
          </a:extLst>
        </xdr:cNvPr>
        <xdr:cNvSpPr/>
      </xdr:nvSpPr>
      <xdr:spPr>
        <a:xfrm flipH="1">
          <a:off x="5174550" y="3575213"/>
          <a:ext cx="342900" cy="409575"/>
        </a:xfrm>
        <a:prstGeom prst="downArrow">
          <a:avLst>
            <a:gd name="adj1" fmla="val 50000"/>
            <a:gd name="adj2" fmla="val 50000"/>
          </a:avLst>
        </a:prstGeom>
        <a:solidFill>
          <a:srgbClr val="FF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1066800</xdr:colOff>
      <xdr:row>2</xdr:row>
      <xdr:rowOff>57150</xdr:rowOff>
    </xdr:from>
    <xdr:ext cx="419100" cy="971550"/>
    <xdr:sp macro="" textlink="">
      <xdr:nvSpPr>
        <xdr:cNvPr id="2" name="Shape 5">
          <a:extLst>
            <a:ext uri="{FF2B5EF4-FFF2-40B4-BE49-F238E27FC236}">
              <a16:creationId xmlns:a16="http://schemas.microsoft.com/office/drawing/2014/main" id="{00000000-0008-0000-0400-000002000000}"/>
            </a:ext>
          </a:extLst>
        </xdr:cNvPr>
        <xdr:cNvSpPr/>
      </xdr:nvSpPr>
      <xdr:spPr>
        <a:xfrm rot="10800000">
          <a:off x="5141213" y="3294225"/>
          <a:ext cx="409575" cy="971550"/>
        </a:xfrm>
        <a:prstGeom prst="downArrow">
          <a:avLst>
            <a:gd name="adj1" fmla="val 50000"/>
            <a:gd name="adj2" fmla="val 50000"/>
          </a:avLst>
        </a:prstGeom>
        <a:solidFill>
          <a:srgbClr val="0099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142875</xdr:colOff>
      <xdr:row>1</xdr:row>
      <xdr:rowOff>47625</xdr:rowOff>
    </xdr:from>
    <xdr:ext cx="904875" cy="619125"/>
    <xdr:pic>
      <xdr:nvPicPr>
        <xdr:cNvPr id="2" name="image1.png">
          <a:extLst>
            <a:ext uri="{FF2B5EF4-FFF2-40B4-BE49-F238E27FC236}">
              <a16:creationId xmlns:a16="http://schemas.microsoft.com/office/drawing/2014/main" id="{ECAE7E19-59D5-497A-8F82-43E6D5DF0C84}"/>
            </a:ext>
          </a:extLst>
        </xdr:cNvPr>
        <xdr:cNvPicPr preferRelativeResize="0"/>
      </xdr:nvPicPr>
      <xdr:blipFill>
        <a:blip xmlns:r="http://schemas.openxmlformats.org/officeDocument/2006/relationships" r:embed="rId1" cstate="print"/>
        <a:stretch>
          <a:fillRect/>
        </a:stretch>
      </xdr:blipFill>
      <xdr:spPr>
        <a:xfrm>
          <a:off x="495300" y="228600"/>
          <a:ext cx="904875" cy="6191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38100</xdr:colOff>
      <xdr:row>0</xdr:row>
      <xdr:rowOff>66675</xdr:rowOff>
    </xdr:from>
    <xdr:ext cx="904875" cy="619125"/>
    <xdr:pic>
      <xdr:nvPicPr>
        <xdr:cNvPr id="2" name="image1.png">
          <a:extLst>
            <a:ext uri="{FF2B5EF4-FFF2-40B4-BE49-F238E27FC236}">
              <a16:creationId xmlns:a16="http://schemas.microsoft.com/office/drawing/2014/main" id="{5E6BE03E-8A0E-4BCD-967C-E1ABD5122130}"/>
            </a:ext>
          </a:extLst>
        </xdr:cNvPr>
        <xdr:cNvPicPr preferRelativeResize="0"/>
      </xdr:nvPicPr>
      <xdr:blipFill>
        <a:blip xmlns:r="http://schemas.openxmlformats.org/officeDocument/2006/relationships" r:embed="rId1" cstate="print"/>
        <a:stretch>
          <a:fillRect/>
        </a:stretch>
      </xdr:blipFill>
      <xdr:spPr>
        <a:xfrm>
          <a:off x="38100" y="66675"/>
          <a:ext cx="904875" cy="6191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twoCellAnchor>
    <xdr:from>
      <xdr:col>4</xdr:col>
      <xdr:colOff>178593</xdr:colOff>
      <xdr:row>24</xdr:row>
      <xdr:rowOff>119062</xdr:rowOff>
    </xdr:from>
    <xdr:to>
      <xdr:col>10</xdr:col>
      <xdr:colOff>726280</xdr:colOff>
      <xdr:row>46</xdr:row>
      <xdr:rowOff>71437</xdr:rowOff>
    </xdr:to>
    <xdr:graphicFrame macro="">
      <xdr:nvGraphicFramePr>
        <xdr:cNvPr id="2" name="Gráfico 1">
          <a:extLst>
            <a:ext uri="{FF2B5EF4-FFF2-40B4-BE49-F238E27FC236}">
              <a16:creationId xmlns:a16="http://schemas.microsoft.com/office/drawing/2014/main" id="{486D4ED3-BA82-4114-A88F-8D1B94197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321469</xdr:colOff>
      <xdr:row>47</xdr:row>
      <xdr:rowOff>95250</xdr:rowOff>
    </xdr:from>
    <xdr:to>
      <xdr:col>9</xdr:col>
      <xdr:colOff>797719</xdr:colOff>
      <xdr:row>65</xdr:row>
      <xdr:rowOff>115489</xdr:rowOff>
    </xdr:to>
    <xdr:graphicFrame macro="">
      <xdr:nvGraphicFramePr>
        <xdr:cNvPr id="3" name="Gráfico 2">
          <a:extLst>
            <a:ext uri="{FF2B5EF4-FFF2-40B4-BE49-F238E27FC236}">
              <a16:creationId xmlns:a16="http://schemas.microsoft.com/office/drawing/2014/main" id="{8AF68C03-4681-46ED-8618-A4BC7056E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321467</xdr:colOff>
      <xdr:row>66</xdr:row>
      <xdr:rowOff>95250</xdr:rowOff>
    </xdr:from>
    <xdr:to>
      <xdr:col>9</xdr:col>
      <xdr:colOff>833436</xdr:colOff>
      <xdr:row>86</xdr:row>
      <xdr:rowOff>55959</xdr:rowOff>
    </xdr:to>
    <xdr:graphicFrame macro="">
      <xdr:nvGraphicFramePr>
        <xdr:cNvPr id="4" name="Gráfico 3">
          <a:extLst>
            <a:ext uri="{FF2B5EF4-FFF2-40B4-BE49-F238E27FC236}">
              <a16:creationId xmlns:a16="http://schemas.microsoft.com/office/drawing/2014/main" id="{CFA2964B-7228-4041-8FC7-0D746C990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583406</xdr:colOff>
      <xdr:row>35</xdr:row>
      <xdr:rowOff>130969</xdr:rowOff>
    </xdr:from>
    <xdr:to>
      <xdr:col>7</xdr:col>
      <xdr:colOff>656810</xdr:colOff>
      <xdr:row>45</xdr:row>
      <xdr:rowOff>59531</xdr:rowOff>
    </xdr:to>
    <xdr:cxnSp macro="">
      <xdr:nvCxnSpPr>
        <xdr:cNvPr id="5" name="Conector recto 4">
          <a:extLst>
            <a:ext uri="{FF2B5EF4-FFF2-40B4-BE49-F238E27FC236}">
              <a16:creationId xmlns:a16="http://schemas.microsoft.com/office/drawing/2014/main" id="{72A8C65E-E111-46EF-8A66-8814D89E8258}"/>
            </a:ext>
          </a:extLst>
        </xdr:cNvPr>
        <xdr:cNvCxnSpPr>
          <a:cxnSpLocks/>
        </xdr:cNvCxnSpPr>
      </xdr:nvCxnSpPr>
      <xdr:spPr>
        <a:xfrm flipH="1">
          <a:off x="11084719" y="2547938"/>
          <a:ext cx="1633122" cy="1714499"/>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656810</xdr:colOff>
      <xdr:row>24</xdr:row>
      <xdr:rowOff>119062</xdr:rowOff>
    </xdr:from>
    <xdr:to>
      <xdr:col>7</xdr:col>
      <xdr:colOff>656810</xdr:colOff>
      <xdr:row>35</xdr:row>
      <xdr:rowOff>142876</xdr:rowOff>
    </xdr:to>
    <xdr:cxnSp macro="">
      <xdr:nvCxnSpPr>
        <xdr:cNvPr id="6" name="Conector recto 5">
          <a:extLst>
            <a:ext uri="{FF2B5EF4-FFF2-40B4-BE49-F238E27FC236}">
              <a16:creationId xmlns:a16="http://schemas.microsoft.com/office/drawing/2014/main" id="{C97A6763-C526-496A-808A-AC57489D4078}"/>
            </a:ext>
          </a:extLst>
        </xdr:cNvPr>
        <xdr:cNvCxnSpPr>
          <a:cxnSpLocks/>
        </xdr:cNvCxnSpPr>
      </xdr:nvCxnSpPr>
      <xdr:spPr>
        <a:xfrm>
          <a:off x="12717841" y="476250"/>
          <a:ext cx="0" cy="2083595"/>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285749</xdr:colOff>
      <xdr:row>57</xdr:row>
      <xdr:rowOff>154782</xdr:rowOff>
    </xdr:from>
    <xdr:to>
      <xdr:col>7</xdr:col>
      <xdr:colOff>109121</xdr:colOff>
      <xdr:row>65</xdr:row>
      <xdr:rowOff>83343</xdr:rowOff>
    </xdr:to>
    <xdr:cxnSp macro="">
      <xdr:nvCxnSpPr>
        <xdr:cNvPr id="7" name="Conector recto 6">
          <a:extLst>
            <a:ext uri="{FF2B5EF4-FFF2-40B4-BE49-F238E27FC236}">
              <a16:creationId xmlns:a16="http://schemas.microsoft.com/office/drawing/2014/main" id="{202124DB-6A43-4BF9-908B-84900143C5CE}"/>
            </a:ext>
          </a:extLst>
        </xdr:cNvPr>
        <xdr:cNvCxnSpPr>
          <a:cxnSpLocks/>
        </xdr:cNvCxnSpPr>
      </xdr:nvCxnSpPr>
      <xdr:spPr>
        <a:xfrm flipH="1">
          <a:off x="10787062" y="6512720"/>
          <a:ext cx="1383090" cy="1357311"/>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107156</xdr:colOff>
      <xdr:row>47</xdr:row>
      <xdr:rowOff>95249</xdr:rowOff>
    </xdr:from>
    <xdr:to>
      <xdr:col>7</xdr:col>
      <xdr:colOff>119062</xdr:colOff>
      <xdr:row>57</xdr:row>
      <xdr:rowOff>166687</xdr:rowOff>
    </xdr:to>
    <xdr:cxnSp macro="">
      <xdr:nvCxnSpPr>
        <xdr:cNvPr id="8" name="Conector recto 7">
          <a:extLst>
            <a:ext uri="{FF2B5EF4-FFF2-40B4-BE49-F238E27FC236}">
              <a16:creationId xmlns:a16="http://schemas.microsoft.com/office/drawing/2014/main" id="{02654A78-8621-4972-93EA-44731E534DF6}"/>
            </a:ext>
          </a:extLst>
        </xdr:cNvPr>
        <xdr:cNvCxnSpPr>
          <a:cxnSpLocks/>
        </xdr:cNvCxnSpPr>
      </xdr:nvCxnSpPr>
      <xdr:spPr>
        <a:xfrm flipH="1">
          <a:off x="12168187" y="4655343"/>
          <a:ext cx="11906" cy="1869282"/>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869156</xdr:colOff>
      <xdr:row>77</xdr:row>
      <xdr:rowOff>95251</xdr:rowOff>
    </xdr:from>
    <xdr:to>
      <xdr:col>7</xdr:col>
      <xdr:colOff>799684</xdr:colOff>
      <xdr:row>85</xdr:row>
      <xdr:rowOff>154781</xdr:rowOff>
    </xdr:to>
    <xdr:cxnSp macro="">
      <xdr:nvCxnSpPr>
        <xdr:cNvPr id="9" name="Conector recto 8">
          <a:extLst>
            <a:ext uri="{FF2B5EF4-FFF2-40B4-BE49-F238E27FC236}">
              <a16:creationId xmlns:a16="http://schemas.microsoft.com/office/drawing/2014/main" id="{CAB54340-7CB0-4336-8D88-63B9A8ED6DD7}"/>
            </a:ext>
          </a:extLst>
        </xdr:cNvPr>
        <xdr:cNvCxnSpPr>
          <a:cxnSpLocks/>
        </xdr:cNvCxnSpPr>
      </xdr:nvCxnSpPr>
      <xdr:spPr>
        <a:xfrm flipH="1">
          <a:off x="11370469" y="10036970"/>
          <a:ext cx="1490246" cy="1488280"/>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787778</xdr:colOff>
      <xdr:row>66</xdr:row>
      <xdr:rowOff>95250</xdr:rowOff>
    </xdr:from>
    <xdr:to>
      <xdr:col>7</xdr:col>
      <xdr:colOff>787778</xdr:colOff>
      <xdr:row>77</xdr:row>
      <xdr:rowOff>130969</xdr:rowOff>
    </xdr:to>
    <xdr:cxnSp macro="">
      <xdr:nvCxnSpPr>
        <xdr:cNvPr id="10" name="Conector recto 9">
          <a:extLst>
            <a:ext uri="{FF2B5EF4-FFF2-40B4-BE49-F238E27FC236}">
              <a16:creationId xmlns:a16="http://schemas.microsoft.com/office/drawing/2014/main" id="{E581D5F4-1785-4129-A9FA-32D0B88FF256}"/>
            </a:ext>
          </a:extLst>
        </xdr:cNvPr>
        <xdr:cNvCxnSpPr>
          <a:cxnSpLocks/>
        </xdr:cNvCxnSpPr>
      </xdr:nvCxnSpPr>
      <xdr:spPr>
        <a:xfrm>
          <a:off x="12848809" y="8060531"/>
          <a:ext cx="0" cy="2012157"/>
        </a:xfrm>
        <a:prstGeom prst="line">
          <a:avLst/>
        </a:prstGeom>
        <a:ln w="38100">
          <a:solidFill>
            <a:srgbClr val="FD67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288314</xdr:colOff>
      <xdr:row>13</xdr:row>
      <xdr:rowOff>2263</xdr:rowOff>
    </xdr:from>
    <xdr:to>
      <xdr:col>3</xdr:col>
      <xdr:colOff>1149705</xdr:colOff>
      <xdr:row>13</xdr:row>
      <xdr:rowOff>354587</xdr:rowOff>
    </xdr:to>
    <xdr:sp macro="" textlink="">
      <xdr:nvSpPr>
        <xdr:cNvPr id="11" name="Rectángulo 10">
          <a:extLst>
            <a:ext uri="{FF2B5EF4-FFF2-40B4-BE49-F238E27FC236}">
              <a16:creationId xmlns:a16="http://schemas.microsoft.com/office/drawing/2014/main" id="{249DEC59-62E4-4821-BCA3-3180CFD13FA3}"/>
            </a:ext>
          </a:extLst>
        </xdr:cNvPr>
        <xdr:cNvSpPr/>
      </xdr:nvSpPr>
      <xdr:spPr>
        <a:xfrm>
          <a:off x="6412889" y="0"/>
          <a:ext cx="861391" cy="0"/>
        </a:xfrm>
        <a:prstGeom prst="rect">
          <a:avLst/>
        </a:prstGeom>
        <a:noFill/>
        <a:ln w="5715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1590124</xdr:colOff>
      <xdr:row>13</xdr:row>
      <xdr:rowOff>2263</xdr:rowOff>
    </xdr:from>
    <xdr:to>
      <xdr:col>4</xdr:col>
      <xdr:colOff>1999445</xdr:colOff>
      <xdr:row>13</xdr:row>
      <xdr:rowOff>303300</xdr:rowOff>
    </xdr:to>
    <xdr:sp macro="" textlink="">
      <xdr:nvSpPr>
        <xdr:cNvPr id="12" name="Flecha derecha 12">
          <a:extLst>
            <a:ext uri="{FF2B5EF4-FFF2-40B4-BE49-F238E27FC236}">
              <a16:creationId xmlns:a16="http://schemas.microsoft.com/office/drawing/2014/main" id="{5BACD432-143B-4822-B868-98B40DA75233}"/>
            </a:ext>
          </a:extLst>
        </xdr:cNvPr>
        <xdr:cNvSpPr/>
      </xdr:nvSpPr>
      <xdr:spPr>
        <a:xfrm flipH="1">
          <a:off x="9133924" y="0"/>
          <a:ext cx="409321" cy="0"/>
        </a:xfrm>
        <a:prstGeom prst="rightArrow">
          <a:avLst/>
        </a:prstGeom>
        <a:solidFill>
          <a:schemeClr val="accent4"/>
        </a:solid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578139</xdr:colOff>
      <xdr:row>12</xdr:row>
      <xdr:rowOff>381917</xdr:rowOff>
    </xdr:from>
    <xdr:to>
      <xdr:col>4</xdr:col>
      <xdr:colOff>1439530</xdr:colOff>
      <xdr:row>13</xdr:row>
      <xdr:rowOff>355450</xdr:rowOff>
    </xdr:to>
    <xdr:sp macro="" textlink="">
      <xdr:nvSpPr>
        <xdr:cNvPr id="13" name="Rectángulo 12">
          <a:extLst>
            <a:ext uri="{FF2B5EF4-FFF2-40B4-BE49-F238E27FC236}">
              <a16:creationId xmlns:a16="http://schemas.microsoft.com/office/drawing/2014/main" id="{2835DA7A-6570-4112-A4B4-3C91EEBD979F}"/>
            </a:ext>
          </a:extLst>
        </xdr:cNvPr>
        <xdr:cNvSpPr/>
      </xdr:nvSpPr>
      <xdr:spPr>
        <a:xfrm>
          <a:off x="8121939" y="0"/>
          <a:ext cx="861391" cy="0"/>
        </a:xfrm>
        <a:prstGeom prst="rect">
          <a:avLst/>
        </a:prstGeom>
        <a:noFill/>
        <a:ln w="5715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3</xdr:col>
      <xdr:colOff>299002</xdr:colOff>
      <xdr:row>13</xdr:row>
      <xdr:rowOff>384554</xdr:rowOff>
    </xdr:from>
    <xdr:to>
      <xdr:col>3</xdr:col>
      <xdr:colOff>1160393</xdr:colOff>
      <xdr:row>14</xdr:row>
      <xdr:rowOff>370454</xdr:rowOff>
    </xdr:to>
    <xdr:sp macro="" textlink="">
      <xdr:nvSpPr>
        <xdr:cNvPr id="14" name="Rectángulo 13">
          <a:extLst>
            <a:ext uri="{FF2B5EF4-FFF2-40B4-BE49-F238E27FC236}">
              <a16:creationId xmlns:a16="http://schemas.microsoft.com/office/drawing/2014/main" id="{2EA6315F-9643-41F4-B82F-60FC4B2CDA59}"/>
            </a:ext>
          </a:extLst>
        </xdr:cNvPr>
        <xdr:cNvSpPr/>
      </xdr:nvSpPr>
      <xdr:spPr>
        <a:xfrm>
          <a:off x="6423577" y="0"/>
          <a:ext cx="861391" cy="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3</xdr:col>
      <xdr:colOff>301565</xdr:colOff>
      <xdr:row>15</xdr:row>
      <xdr:rowOff>18871</xdr:rowOff>
    </xdr:from>
    <xdr:to>
      <xdr:col>3</xdr:col>
      <xdr:colOff>1162956</xdr:colOff>
      <xdr:row>15</xdr:row>
      <xdr:rowOff>371196</xdr:rowOff>
    </xdr:to>
    <xdr:sp macro="" textlink="">
      <xdr:nvSpPr>
        <xdr:cNvPr id="15" name="Rectángulo 14">
          <a:extLst>
            <a:ext uri="{FF2B5EF4-FFF2-40B4-BE49-F238E27FC236}">
              <a16:creationId xmlns:a16="http://schemas.microsoft.com/office/drawing/2014/main" id="{4954BD65-E659-4747-86FE-0159EF1C8976}"/>
            </a:ext>
          </a:extLst>
        </xdr:cNvPr>
        <xdr:cNvSpPr/>
      </xdr:nvSpPr>
      <xdr:spPr>
        <a:xfrm>
          <a:off x="6426140" y="0"/>
          <a:ext cx="861391" cy="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3</xdr:col>
      <xdr:colOff>285750</xdr:colOff>
      <xdr:row>12</xdr:row>
      <xdr:rowOff>3090</xdr:rowOff>
    </xdr:from>
    <xdr:to>
      <xdr:col>3</xdr:col>
      <xdr:colOff>1147141</xdr:colOff>
      <xdr:row>12</xdr:row>
      <xdr:rowOff>355415</xdr:rowOff>
    </xdr:to>
    <xdr:sp macro="" textlink="">
      <xdr:nvSpPr>
        <xdr:cNvPr id="16" name="Rectángulo 15">
          <a:extLst>
            <a:ext uri="{FF2B5EF4-FFF2-40B4-BE49-F238E27FC236}">
              <a16:creationId xmlns:a16="http://schemas.microsoft.com/office/drawing/2014/main" id="{F7EB93BC-9AE7-49A8-B97D-6E263D6B50B5}"/>
            </a:ext>
          </a:extLst>
        </xdr:cNvPr>
        <xdr:cNvSpPr/>
      </xdr:nvSpPr>
      <xdr:spPr>
        <a:xfrm>
          <a:off x="6410325" y="0"/>
          <a:ext cx="861391" cy="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591391</xdr:colOff>
      <xdr:row>11</xdr:row>
      <xdr:rowOff>381000</xdr:rowOff>
    </xdr:from>
    <xdr:to>
      <xdr:col>4</xdr:col>
      <xdr:colOff>1452782</xdr:colOff>
      <xdr:row>12</xdr:row>
      <xdr:rowOff>340419</xdr:rowOff>
    </xdr:to>
    <xdr:sp macro="" textlink="">
      <xdr:nvSpPr>
        <xdr:cNvPr id="17" name="Rectángulo 16">
          <a:extLst>
            <a:ext uri="{FF2B5EF4-FFF2-40B4-BE49-F238E27FC236}">
              <a16:creationId xmlns:a16="http://schemas.microsoft.com/office/drawing/2014/main" id="{D5813C56-9E87-43C5-982B-34295B43C5ED}"/>
            </a:ext>
          </a:extLst>
        </xdr:cNvPr>
        <xdr:cNvSpPr/>
      </xdr:nvSpPr>
      <xdr:spPr>
        <a:xfrm>
          <a:off x="8135191" y="0"/>
          <a:ext cx="861391" cy="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578138</xdr:colOff>
      <xdr:row>13</xdr:row>
      <xdr:rowOff>384553</xdr:rowOff>
    </xdr:from>
    <xdr:to>
      <xdr:col>4</xdr:col>
      <xdr:colOff>1439529</xdr:colOff>
      <xdr:row>14</xdr:row>
      <xdr:rowOff>358087</xdr:rowOff>
    </xdr:to>
    <xdr:sp macro="" textlink="">
      <xdr:nvSpPr>
        <xdr:cNvPr id="18" name="Rectángulo 17">
          <a:extLst>
            <a:ext uri="{FF2B5EF4-FFF2-40B4-BE49-F238E27FC236}">
              <a16:creationId xmlns:a16="http://schemas.microsoft.com/office/drawing/2014/main" id="{1405E60E-193C-426A-AB6A-C86AC497DAC9}"/>
            </a:ext>
          </a:extLst>
        </xdr:cNvPr>
        <xdr:cNvSpPr/>
      </xdr:nvSpPr>
      <xdr:spPr>
        <a:xfrm>
          <a:off x="8121938" y="0"/>
          <a:ext cx="861391" cy="0"/>
        </a:xfrm>
        <a:prstGeom prst="rect">
          <a:avLst/>
        </a:prstGeom>
        <a:noFill/>
        <a:ln w="5715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591391</xdr:colOff>
      <xdr:row>15</xdr:row>
      <xdr:rowOff>5619</xdr:rowOff>
    </xdr:from>
    <xdr:to>
      <xdr:col>4</xdr:col>
      <xdr:colOff>1452782</xdr:colOff>
      <xdr:row>15</xdr:row>
      <xdr:rowOff>357944</xdr:rowOff>
    </xdr:to>
    <xdr:sp macro="" textlink="">
      <xdr:nvSpPr>
        <xdr:cNvPr id="19" name="Rectángulo 18">
          <a:extLst>
            <a:ext uri="{FF2B5EF4-FFF2-40B4-BE49-F238E27FC236}">
              <a16:creationId xmlns:a16="http://schemas.microsoft.com/office/drawing/2014/main" id="{E843C814-1F87-4226-A4F9-6D4EE2B084F6}"/>
            </a:ext>
          </a:extLst>
        </xdr:cNvPr>
        <xdr:cNvSpPr/>
      </xdr:nvSpPr>
      <xdr:spPr>
        <a:xfrm>
          <a:off x="8135191" y="0"/>
          <a:ext cx="861391" cy="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1572061</xdr:colOff>
      <xdr:row>11</xdr:row>
      <xdr:rowOff>392532</xdr:rowOff>
    </xdr:from>
    <xdr:to>
      <xdr:col>4</xdr:col>
      <xdr:colOff>1981382</xdr:colOff>
      <xdr:row>12</xdr:row>
      <xdr:rowOff>300663</xdr:rowOff>
    </xdr:to>
    <xdr:sp macro="" textlink="">
      <xdr:nvSpPr>
        <xdr:cNvPr id="20" name="Flecha derecha 12">
          <a:extLst>
            <a:ext uri="{FF2B5EF4-FFF2-40B4-BE49-F238E27FC236}">
              <a16:creationId xmlns:a16="http://schemas.microsoft.com/office/drawing/2014/main" id="{3ACA01AF-E853-4298-93B2-CC646D3EB2B9}"/>
            </a:ext>
          </a:extLst>
        </xdr:cNvPr>
        <xdr:cNvSpPr/>
      </xdr:nvSpPr>
      <xdr:spPr>
        <a:xfrm flipH="1">
          <a:off x="9115861" y="0"/>
          <a:ext cx="409321" cy="0"/>
        </a:xfrm>
        <a:prstGeom prs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twoCellAnchor>
    <xdr:from>
      <xdr:col>4</xdr:col>
      <xdr:colOff>1590124</xdr:colOff>
      <xdr:row>15</xdr:row>
      <xdr:rowOff>4758</xdr:rowOff>
    </xdr:from>
    <xdr:to>
      <xdr:col>4</xdr:col>
      <xdr:colOff>1999445</xdr:colOff>
      <xdr:row>15</xdr:row>
      <xdr:rowOff>305795</xdr:rowOff>
    </xdr:to>
    <xdr:sp macro="" textlink="">
      <xdr:nvSpPr>
        <xdr:cNvPr id="21" name="Flecha derecha 12">
          <a:extLst>
            <a:ext uri="{FF2B5EF4-FFF2-40B4-BE49-F238E27FC236}">
              <a16:creationId xmlns:a16="http://schemas.microsoft.com/office/drawing/2014/main" id="{A6A0552D-4108-41D7-BC52-3FF5D135F7EA}"/>
            </a:ext>
          </a:extLst>
        </xdr:cNvPr>
        <xdr:cNvSpPr/>
      </xdr:nvSpPr>
      <xdr:spPr>
        <a:xfrm flipH="1">
          <a:off x="9133924" y="0"/>
          <a:ext cx="409321" cy="0"/>
        </a:xfrm>
        <a:prstGeom prs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P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PE"/>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361949</xdr:colOff>
      <xdr:row>0</xdr:row>
      <xdr:rowOff>133350</xdr:rowOff>
    </xdr:from>
    <xdr:to>
      <xdr:col>11</xdr:col>
      <xdr:colOff>123825</xdr:colOff>
      <xdr:row>14</xdr:row>
      <xdr:rowOff>19050</xdr:rowOff>
    </xdr:to>
    <xdr:graphicFrame macro="">
      <xdr:nvGraphicFramePr>
        <xdr:cNvPr id="2" name="Gráfico 1">
          <a:extLst>
            <a:ext uri="{FF2B5EF4-FFF2-40B4-BE49-F238E27FC236}">
              <a16:creationId xmlns:a16="http://schemas.microsoft.com/office/drawing/2014/main" id="{884F6723-59EA-4900-9854-CDBAE5989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14</xdr:row>
      <xdr:rowOff>133350</xdr:rowOff>
    </xdr:from>
    <xdr:to>
      <xdr:col>8</xdr:col>
      <xdr:colOff>409575</xdr:colOff>
      <xdr:row>26</xdr:row>
      <xdr:rowOff>57149</xdr:rowOff>
    </xdr:to>
    <xdr:graphicFrame macro="">
      <xdr:nvGraphicFramePr>
        <xdr:cNvPr id="3" name="Gráfico 2">
          <a:extLst>
            <a:ext uri="{FF2B5EF4-FFF2-40B4-BE49-F238E27FC236}">
              <a16:creationId xmlns:a16="http://schemas.microsoft.com/office/drawing/2014/main" id="{7F5313A2-8538-440E-9FA9-C428B65A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23</xdr:row>
      <xdr:rowOff>176212</xdr:rowOff>
    </xdr:from>
    <xdr:to>
      <xdr:col>15</xdr:col>
      <xdr:colOff>285750</xdr:colOff>
      <xdr:row>38</xdr:row>
      <xdr:rowOff>138112</xdr:rowOff>
    </xdr:to>
    <xdr:graphicFrame macro="">
      <xdr:nvGraphicFramePr>
        <xdr:cNvPr id="4" name="Gráfico 3">
          <a:extLst>
            <a:ext uri="{FF2B5EF4-FFF2-40B4-BE49-F238E27FC236}">
              <a16:creationId xmlns:a16="http://schemas.microsoft.com/office/drawing/2014/main" id="{8E5584CB-2988-488C-AF4D-DE3F05880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RRHH%20-%20DACHA\11%20-%20CLIMA%20LABORAL\ENCUESTA%20CLIMA%20LABORAL%20-%20DACHASAC%20(2).xlsx" TargetMode="External"/><Relationship Id="rId1" Type="http://schemas.openxmlformats.org/officeDocument/2006/relationships/externalLinkPath" Target="/RRHH%20-%20DACHA/11%20-%20CLIMA%20LABORAL/ENCUESTA%20CLIMA%20LABORAL%20-%20DACHASAC%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DAMARIZ%20LOAYZA\D\RRHH%20ADUANA\REGLAMENTOS%20Y%20POLITICAS\PROCEDIMIENTOS\CLIMA%20LABORAL\ENCUESTA%20CLIMA%20LABORAL%20-%20DACHASAC.xlsx" TargetMode="External"/><Relationship Id="rId1" Type="http://schemas.openxmlformats.org/officeDocument/2006/relationships/externalLinkPath" Target="/DAMARIZ%20LOAYZA/D/RRHH%20ADUANA/REGLAMENTOS%20Y%20POLITICAS/PROCEDIMIENTOS/CLIMA%20LABORAL/ENCUESTA%20CLIMA%20LABORAL%20-%20DACHASAC.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AMARIZ%20LOAYZA\D\RRHH%20ADUANA\REGLAMENTOS%20Y%20POLITICAS\PROCEDIMIENTOS\CLIMA%20LABORAL\Libro1.xlsx" TargetMode="External"/><Relationship Id="rId1" Type="http://schemas.openxmlformats.org/officeDocument/2006/relationships/externalLinkPath" Target="/DAMARIZ%20LOAYZA/D/RRHH%20ADUANA/REGLAMENTOS%20Y%20POLITICAS/PROCEDIMIENTOS/CLIMA%20LABORAL/Libr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RUCTURA"/>
      <sheetName val="RESPUESTAS"/>
      <sheetName val=" RESULTADO GENERAL P.CERRADAS"/>
      <sheetName val="RESULTADOS GENERAL P.ESCALA"/>
      <sheetName val="P. ABIERTAS"/>
      <sheetName val="LISTADO DE FRECUENCIAS"/>
      <sheetName val="LISTADO DE PORCENTAJE"/>
      <sheetName val="RESULTADOS CALLAO"/>
      <sheetName val="RESULTADOS PAITA"/>
      <sheetName val="RESULTADOS PISCO"/>
      <sheetName val="RESULTADOS SALAVERRY"/>
      <sheetName val="RESULTADOS OF PEQUEÑAS"/>
      <sheetName val="RESULTADO GLOBAL"/>
      <sheetName val="Hoja1"/>
    </sheetNames>
    <sheetDataSet>
      <sheetData sheetId="0"/>
      <sheetData sheetId="1">
        <row r="310">
          <cell r="C310" t="str">
            <v>GENERALIDADES</v>
          </cell>
          <cell r="D310" t="str">
            <v>GENERALIDADES</v>
          </cell>
          <cell r="E310" t="str">
            <v>GENERALIDADES</v>
          </cell>
          <cell r="F310" t="str">
            <v>GENERALIDADES</v>
          </cell>
          <cell r="G310" t="str">
            <v>COLABORACIÓN</v>
          </cell>
          <cell r="H310" t="str">
            <v>COLABORACIÓN</v>
          </cell>
          <cell r="I310" t="str">
            <v>COLABORACIÓN</v>
          </cell>
          <cell r="J310" t="str">
            <v>COLABORACIÓN</v>
          </cell>
          <cell r="K310" t="str">
            <v>VALORACIÓN - 
 MOTIVACIÓN</v>
          </cell>
          <cell r="L310" t="str">
            <v>VALORACIÓN - 
 MOTIVACIÓN</v>
          </cell>
          <cell r="M310" t="str">
            <v>VALORACIÓN - 
 MOTIVACIÓN</v>
          </cell>
          <cell r="N310" t="str">
            <v>VALORACIÓN - 
 MOTIVACIÓN</v>
          </cell>
          <cell r="O310" t="str">
            <v>VALORACIÓN - 
 MOTIVACIÓN</v>
          </cell>
          <cell r="P310" t="str">
            <v>COMUNICACIÓN</v>
          </cell>
          <cell r="Q310" t="str">
            <v>COMUNICACIÓN</v>
          </cell>
          <cell r="R310" t="str">
            <v>COMUNICACIÓN</v>
          </cell>
          <cell r="S310" t="str">
            <v>COMUNICACIÓN</v>
          </cell>
          <cell r="T310" t="str">
            <v>COMUNICACIÓN</v>
          </cell>
          <cell r="U310" t="str">
            <v>FORMACIÓN</v>
          </cell>
          <cell r="V310" t="str">
            <v>FORMACIÓN</v>
          </cell>
          <cell r="W310" t="str">
            <v>FORMACIÓN</v>
          </cell>
          <cell r="X310" t="str">
            <v>LIDERAZGO</v>
          </cell>
          <cell r="Y310" t="str">
            <v>LIDERAZGO</v>
          </cell>
          <cell r="Z310" t="str">
            <v>LIDERAZGO</v>
          </cell>
          <cell r="AA310" t="str">
            <v>LIDERAZGO</v>
          </cell>
          <cell r="AB310" t="str">
            <v>LIDERAZGO</v>
          </cell>
          <cell r="AC310" t="str">
            <v>SEGURIDAD</v>
          </cell>
          <cell r="AD310" t="str">
            <v>SEGURIDAD</v>
          </cell>
          <cell r="AE310" t="str">
            <v>SEGURIDAD</v>
          </cell>
          <cell r="AF310" t="str">
            <v>REMUNERACIÓN</v>
          </cell>
          <cell r="AG310" t="str">
            <v>REMUNERACIÓN</v>
          </cell>
          <cell r="AH310" t="str">
            <v>REMUNERACIÓN</v>
          </cell>
          <cell r="AI310" t="str">
            <v>REMUNERACIÓN</v>
          </cell>
          <cell r="AJ310" t="str">
            <v>INNOVACIÓN</v>
          </cell>
          <cell r="AK310" t="str">
            <v>INNOVACIÓN</v>
          </cell>
          <cell r="AL310" t="str">
            <v>INNOVACIÓN</v>
          </cell>
          <cell r="AM310" t="str">
            <v>INNOVACIÓN</v>
          </cell>
          <cell r="AN310" t="str">
            <v>RECOMPENSA</v>
          </cell>
          <cell r="AO310" t="str">
            <v>RECOMPENSA</v>
          </cell>
          <cell r="AP310" t="str">
            <v>RECOMPENSA</v>
          </cell>
          <cell r="AQ310" t="str">
            <v>RECOMPENSA</v>
          </cell>
          <cell r="AR310" t="str">
            <v>TOMA DE DECISIONES</v>
          </cell>
          <cell r="AS310" t="str">
            <v>TOMA DE DECISIONES</v>
          </cell>
          <cell r="AT310" t="str">
            <v>TOMA DE DECISIONES</v>
          </cell>
          <cell r="AU310" t="str">
            <v>TOMA DE DECISIONES</v>
          </cell>
        </row>
        <row r="317">
          <cell r="C317">
            <v>691</v>
          </cell>
          <cell r="D317">
            <v>663</v>
          </cell>
          <cell r="E317">
            <v>686</v>
          </cell>
          <cell r="F317">
            <v>735</v>
          </cell>
          <cell r="G317">
            <v>682</v>
          </cell>
          <cell r="H317">
            <v>688</v>
          </cell>
          <cell r="I317">
            <v>734</v>
          </cell>
          <cell r="J317">
            <v>590</v>
          </cell>
          <cell r="K317">
            <v>643</v>
          </cell>
          <cell r="L317">
            <v>595</v>
          </cell>
          <cell r="M317">
            <v>663</v>
          </cell>
          <cell r="N317">
            <v>722</v>
          </cell>
          <cell r="O317">
            <v>663</v>
          </cell>
          <cell r="P317">
            <v>664</v>
          </cell>
          <cell r="Q317">
            <v>655</v>
          </cell>
          <cell r="R317">
            <v>662</v>
          </cell>
          <cell r="S317">
            <v>652</v>
          </cell>
          <cell r="T317">
            <v>573</v>
          </cell>
          <cell r="U317">
            <v>653</v>
          </cell>
          <cell r="V317">
            <v>630</v>
          </cell>
          <cell r="W317">
            <v>573</v>
          </cell>
          <cell r="X317">
            <v>686</v>
          </cell>
          <cell r="Y317">
            <v>684</v>
          </cell>
          <cell r="Z317">
            <v>665</v>
          </cell>
          <cell r="AA317">
            <v>674</v>
          </cell>
          <cell r="AB317">
            <v>689</v>
          </cell>
          <cell r="AC317">
            <v>685</v>
          </cell>
          <cell r="AD317">
            <v>666</v>
          </cell>
          <cell r="AE317">
            <v>654</v>
          </cell>
          <cell r="AF317">
            <v>754</v>
          </cell>
          <cell r="AG317">
            <v>566</v>
          </cell>
          <cell r="AH317">
            <v>522</v>
          </cell>
          <cell r="AI317">
            <v>516</v>
          </cell>
          <cell r="AJ317">
            <v>687</v>
          </cell>
          <cell r="AK317">
            <v>693</v>
          </cell>
          <cell r="AL317">
            <v>661</v>
          </cell>
          <cell r="AM317">
            <v>659</v>
          </cell>
          <cell r="AN317">
            <v>622</v>
          </cell>
          <cell r="AO317">
            <v>531</v>
          </cell>
          <cell r="AP317">
            <v>687</v>
          </cell>
          <cell r="AQ317">
            <v>554</v>
          </cell>
          <cell r="AR317">
            <v>676</v>
          </cell>
          <cell r="AS317">
            <v>661</v>
          </cell>
          <cell r="AT317">
            <v>600</v>
          </cell>
          <cell r="AU317">
            <v>639</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RUCTURA"/>
      <sheetName val="RESPUESTAS"/>
      <sheetName val="RESULTADOS 1"/>
      <sheetName val="RESULTADOS 2"/>
      <sheetName val="RESULTADOS SEDES"/>
      <sheetName val="CALLAO"/>
      <sheetName val="PAITA"/>
      <sheetName val="PISCO"/>
      <sheetName val="SALAVERRY"/>
      <sheetName val="GRA. CALLAO"/>
      <sheetName val="GRA. PAITA"/>
      <sheetName val="GRA. PISCO"/>
      <sheetName val="GRA. SALAVERRY"/>
    </sheetNames>
    <sheetDataSet>
      <sheetData sheetId="0" refreshError="1"/>
      <sheetData sheetId="1">
        <row r="310">
          <cell r="C310" t="str">
            <v>GENERALIDADES</v>
          </cell>
          <cell r="D310" t="str">
            <v>GENERALIDADES</v>
          </cell>
          <cell r="E310" t="str">
            <v>GENERALIDADES</v>
          </cell>
          <cell r="F310" t="str">
            <v>GENERALIDADES</v>
          </cell>
          <cell r="G310" t="str">
            <v>COLABORACIÓN</v>
          </cell>
          <cell r="H310" t="str">
            <v>COLABORACIÓN</v>
          </cell>
          <cell r="I310" t="str">
            <v>COLABORACIÓN</v>
          </cell>
          <cell r="J310" t="str">
            <v>COLABORACIÓN</v>
          </cell>
          <cell r="K310" t="str">
            <v>VALORACIÓN - 
 MOTIVACIÓN</v>
          </cell>
          <cell r="L310" t="str">
            <v>VALORACIÓN - 
 MOTIVACIÓN</v>
          </cell>
          <cell r="M310" t="str">
            <v>VALORACIÓN - 
 MOTIVACIÓN</v>
          </cell>
          <cell r="N310" t="str">
            <v>VALORACIÓN - 
 MOTIVACIÓN</v>
          </cell>
          <cell r="O310" t="str">
            <v>VALORACIÓN - 
 MOTIVACIÓN</v>
          </cell>
          <cell r="P310" t="str">
            <v>COMUNICACIÓN</v>
          </cell>
          <cell r="Q310" t="str">
            <v>COMUNICACIÓN</v>
          </cell>
          <cell r="R310" t="str">
            <v>COMUNICACIÓN</v>
          </cell>
          <cell r="S310" t="str">
            <v>COMUNICACIÓN</v>
          </cell>
          <cell r="T310" t="str">
            <v>COMUNICACIÓN</v>
          </cell>
          <cell r="U310" t="str">
            <v>FORMACIÓN</v>
          </cell>
          <cell r="V310" t="str">
            <v>FORMACIÓN</v>
          </cell>
          <cell r="W310" t="str">
            <v>FORMACIÓN</v>
          </cell>
          <cell r="X310" t="str">
            <v>LIDERAZGO</v>
          </cell>
          <cell r="Y310" t="str">
            <v>LIDERAZGO</v>
          </cell>
          <cell r="Z310" t="str">
            <v>LIDERAZGO</v>
          </cell>
          <cell r="AA310" t="str">
            <v>LIDERAZGO</v>
          </cell>
          <cell r="AB310" t="str">
            <v>LIDERAZGO</v>
          </cell>
          <cell r="AC310" t="str">
            <v>SEGURIDAD</v>
          </cell>
          <cell r="AD310" t="str">
            <v>SEGURIDAD</v>
          </cell>
          <cell r="AE310" t="str">
            <v>SEGURIDAD</v>
          </cell>
          <cell r="AF310" t="str">
            <v>REMUNERACIÓN</v>
          </cell>
          <cell r="AG310" t="str">
            <v>REMUNERACIÓN</v>
          </cell>
          <cell r="AH310" t="str">
            <v>REMUNERACIÓN</v>
          </cell>
          <cell r="AI310" t="str">
            <v>REMUNERACIÓN</v>
          </cell>
          <cell r="AJ310" t="str">
            <v>INNOVACIÓN</v>
          </cell>
          <cell r="AK310" t="str">
            <v>INNOVACIÓN</v>
          </cell>
          <cell r="AL310" t="str">
            <v>INNOVACIÓN</v>
          </cell>
          <cell r="AM310" t="str">
            <v>INNOVACIÓN</v>
          </cell>
          <cell r="AN310" t="str">
            <v>RECOMPENSA</v>
          </cell>
          <cell r="AO310" t="str">
            <v>RECOMPENSA</v>
          </cell>
          <cell r="AP310" t="str">
            <v>RECOMPENSA</v>
          </cell>
          <cell r="AQ310" t="str">
            <v>RECOMPENSA</v>
          </cell>
          <cell r="AR310" t="str">
            <v>TOMA DE DECISIONES</v>
          </cell>
          <cell r="AS310" t="str">
            <v>TOMA DE DECISIONES</v>
          </cell>
          <cell r="AT310" t="str">
            <v>TOMA DE DECISIONES</v>
          </cell>
          <cell r="AU310" t="str">
            <v>TOMA DE DECISIONES</v>
          </cell>
        </row>
        <row r="317">
          <cell r="C317">
            <v>264</v>
          </cell>
          <cell r="D317">
            <v>261</v>
          </cell>
          <cell r="E317">
            <v>261</v>
          </cell>
          <cell r="F317">
            <v>267</v>
          </cell>
          <cell r="G317">
            <v>264</v>
          </cell>
          <cell r="H317">
            <v>267</v>
          </cell>
          <cell r="I317">
            <v>273</v>
          </cell>
          <cell r="J317">
            <v>246</v>
          </cell>
          <cell r="K317">
            <v>256</v>
          </cell>
          <cell r="L317">
            <v>238</v>
          </cell>
          <cell r="M317">
            <v>262</v>
          </cell>
          <cell r="N317">
            <v>262</v>
          </cell>
          <cell r="O317">
            <v>256</v>
          </cell>
          <cell r="P317">
            <v>257</v>
          </cell>
          <cell r="Q317">
            <v>264</v>
          </cell>
          <cell r="R317">
            <v>268</v>
          </cell>
          <cell r="S317">
            <v>257</v>
          </cell>
          <cell r="T317">
            <v>210</v>
          </cell>
          <cell r="U317">
            <v>246</v>
          </cell>
          <cell r="V317">
            <v>216</v>
          </cell>
          <cell r="W317">
            <v>221</v>
          </cell>
          <cell r="X317">
            <v>261</v>
          </cell>
          <cell r="Y317">
            <v>268</v>
          </cell>
          <cell r="Z317">
            <v>262</v>
          </cell>
          <cell r="AA317">
            <v>264</v>
          </cell>
          <cell r="AB317">
            <v>259</v>
          </cell>
          <cell r="AC317">
            <v>258</v>
          </cell>
          <cell r="AD317">
            <v>260</v>
          </cell>
          <cell r="AE317">
            <v>258</v>
          </cell>
          <cell r="AF317">
            <v>258</v>
          </cell>
          <cell r="AG317">
            <v>204</v>
          </cell>
          <cell r="AH317">
            <v>192</v>
          </cell>
          <cell r="AI317">
            <v>177</v>
          </cell>
          <cell r="AJ317">
            <v>260</v>
          </cell>
          <cell r="AK317">
            <v>248</v>
          </cell>
          <cell r="AL317">
            <v>251</v>
          </cell>
          <cell r="AM317">
            <v>251</v>
          </cell>
          <cell r="AN317">
            <v>220</v>
          </cell>
          <cell r="AO317">
            <v>192</v>
          </cell>
          <cell r="AP317">
            <v>247</v>
          </cell>
          <cell r="AQ317">
            <v>200</v>
          </cell>
          <cell r="AR317">
            <v>261</v>
          </cell>
          <cell r="AS317">
            <v>250</v>
          </cell>
          <cell r="AT317">
            <v>233</v>
          </cell>
          <cell r="AU317">
            <v>249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
          <cell r="A2" t="str">
            <v>Este Año</v>
          </cell>
          <cell r="B2">
            <v>52</v>
          </cell>
        </row>
        <row r="3">
          <cell r="A3" t="str">
            <v>Los próximos 2 años</v>
          </cell>
          <cell r="B3">
            <v>54</v>
          </cell>
        </row>
        <row r="4">
          <cell r="A4" t="str">
            <v>De  3 a 5 años</v>
          </cell>
          <cell r="B4">
            <v>35</v>
          </cell>
        </row>
        <row r="5">
          <cell r="A5" t="str">
            <v>De 6 a 10 años</v>
          </cell>
          <cell r="B5">
            <v>10</v>
          </cell>
        </row>
        <row r="6">
          <cell r="A6" t="str">
            <v>De 10 años en adelante</v>
          </cell>
          <cell r="B6">
            <v>29</v>
          </cell>
        </row>
        <row r="16">
          <cell r="A16" t="str">
            <v>FEMENINO</v>
          </cell>
          <cell r="C16">
            <v>0.49444444444444446</v>
          </cell>
        </row>
        <row r="17">
          <cell r="A17" t="str">
            <v>MASCULINO</v>
          </cell>
          <cell r="C17">
            <v>0.50555555555555554</v>
          </cell>
        </row>
        <row r="26">
          <cell r="A26" t="str">
            <v>Menor a 25 años</v>
          </cell>
          <cell r="C26">
            <v>0.18333333333333332</v>
          </cell>
        </row>
        <row r="27">
          <cell r="A27" t="str">
            <v>De 25 a 35 años</v>
          </cell>
          <cell r="C27">
            <v>0.64444444444444449</v>
          </cell>
        </row>
        <row r="28">
          <cell r="A28" t="str">
            <v>De 36 a 45 años</v>
          </cell>
          <cell r="C28">
            <v>0.13333333333333333</v>
          </cell>
        </row>
        <row r="29">
          <cell r="A29" t="str">
            <v>Mayor a 56 años</v>
          </cell>
          <cell r="C29">
            <v>3.888888888888889E-2</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Z1015"/>
  <sheetViews>
    <sheetView showGridLines="0" workbookViewId="0">
      <selection sqref="A1:XFD1048576"/>
    </sheetView>
  </sheetViews>
  <sheetFormatPr baseColWidth="10" defaultColWidth="12.625" defaultRowHeight="15" customHeight="1" x14ac:dyDescent="0.2"/>
  <cols>
    <col min="1" max="1" width="13.25" customWidth="1"/>
    <col min="2" max="2" width="9.375" customWidth="1"/>
    <col min="3" max="3" width="91.5" customWidth="1"/>
    <col min="4" max="8" width="9.625" customWidth="1"/>
    <col min="9" max="9" width="10.375" customWidth="1"/>
    <col min="10" max="26" width="9.375" customWidth="1"/>
  </cols>
  <sheetData>
    <row r="1" spans="1:26" ht="67.5" customHeight="1" x14ac:dyDescent="0.2">
      <c r="A1" s="226" t="s">
        <v>0</v>
      </c>
      <c r="B1" s="226"/>
      <c r="C1" s="226"/>
      <c r="D1" s="226"/>
      <c r="E1" s="226"/>
      <c r="F1" s="226"/>
      <c r="G1" s="226"/>
      <c r="H1" s="226"/>
      <c r="I1" s="1"/>
      <c r="J1" s="2"/>
      <c r="K1" s="2"/>
    </row>
    <row r="2" spans="1:26" ht="146.25" customHeight="1" x14ac:dyDescent="0.25">
      <c r="A2" s="102"/>
      <c r="B2" s="102"/>
      <c r="C2" s="102"/>
      <c r="D2" s="103"/>
      <c r="E2" s="103"/>
      <c r="F2" s="103"/>
      <c r="G2" s="103"/>
      <c r="H2" s="103"/>
      <c r="I2" s="5"/>
      <c r="J2" s="3"/>
      <c r="K2" s="3"/>
      <c r="L2" s="3"/>
      <c r="M2" s="3"/>
      <c r="N2" s="3"/>
      <c r="O2" s="3"/>
      <c r="P2" s="3"/>
      <c r="Q2" s="3"/>
      <c r="R2" s="3"/>
      <c r="S2" s="3"/>
      <c r="T2" s="3"/>
      <c r="U2" s="3"/>
      <c r="V2" s="3"/>
      <c r="W2" s="3"/>
      <c r="X2" s="3"/>
      <c r="Y2" s="3"/>
      <c r="Z2" s="3"/>
    </row>
    <row r="3" spans="1:26" ht="40.5" customHeight="1" thickBot="1" x14ac:dyDescent="0.25">
      <c r="A3" s="227" t="s">
        <v>1</v>
      </c>
      <c r="B3" s="227"/>
      <c r="C3" s="227"/>
      <c r="D3" s="104"/>
      <c r="E3" s="104"/>
      <c r="F3" s="104"/>
      <c r="G3" s="104"/>
      <c r="H3" s="104"/>
      <c r="I3" s="5"/>
    </row>
    <row r="4" spans="1:26" ht="38.25" customHeight="1" thickBot="1" x14ac:dyDescent="0.25">
      <c r="A4" s="105" t="s">
        <v>2</v>
      </c>
      <c r="B4" s="106" t="s">
        <v>3</v>
      </c>
      <c r="C4" s="106" t="s">
        <v>4</v>
      </c>
      <c r="D4" s="106" t="s">
        <v>5</v>
      </c>
      <c r="E4" s="106" t="s">
        <v>6</v>
      </c>
      <c r="F4" s="106" t="s">
        <v>7</v>
      </c>
      <c r="G4" s="106" t="s">
        <v>8</v>
      </c>
      <c r="H4" s="107" t="s">
        <v>9</v>
      </c>
      <c r="I4" s="7"/>
      <c r="J4" s="8"/>
      <c r="K4" s="8"/>
      <c r="L4" s="8"/>
      <c r="M4" s="8"/>
      <c r="N4" s="8"/>
      <c r="O4" s="8"/>
      <c r="P4" s="8"/>
      <c r="Q4" s="8"/>
      <c r="R4" s="8"/>
      <c r="S4" s="8"/>
      <c r="T4" s="8"/>
      <c r="U4" s="8"/>
      <c r="V4" s="8"/>
      <c r="W4" s="8"/>
      <c r="X4" s="8"/>
      <c r="Y4" s="8"/>
      <c r="Z4" s="8"/>
    </row>
    <row r="5" spans="1:26" ht="30.75" customHeight="1" thickBot="1" x14ac:dyDescent="0.25">
      <c r="A5" s="223" t="s">
        <v>10</v>
      </c>
      <c r="B5" s="108">
        <v>1</v>
      </c>
      <c r="C5" s="109" t="s">
        <v>11</v>
      </c>
      <c r="D5" s="110"/>
      <c r="E5" s="110"/>
      <c r="F5" s="110"/>
      <c r="G5" s="110"/>
      <c r="H5" s="110"/>
      <c r="I5" s="9" t="str">
        <f>IF(D5="X","N",IF(E5="X","CN",IF(F5="X","AV",IF(G5="X","CS",IF(H5="X","S","")))))</f>
        <v/>
      </c>
      <c r="J5" s="8"/>
      <c r="K5" s="8"/>
      <c r="L5" s="8"/>
      <c r="M5" s="8"/>
      <c r="N5" s="8"/>
      <c r="O5" s="8"/>
      <c r="P5" s="8"/>
      <c r="Q5" s="8"/>
      <c r="R5" s="8"/>
      <c r="S5" s="8"/>
      <c r="T5" s="8"/>
      <c r="U5" s="8"/>
      <c r="V5" s="8"/>
      <c r="W5" s="8"/>
      <c r="X5" s="8"/>
      <c r="Y5" s="8"/>
      <c r="Z5" s="8"/>
    </row>
    <row r="6" spans="1:26" ht="30.75" customHeight="1" thickBot="1" x14ac:dyDescent="0.3">
      <c r="A6" s="224"/>
      <c r="B6" s="108">
        <v>2</v>
      </c>
      <c r="C6" s="109" t="s">
        <v>310</v>
      </c>
      <c r="D6" s="111"/>
      <c r="E6" s="110"/>
      <c r="F6" s="110"/>
      <c r="G6" s="110"/>
      <c r="H6" s="110"/>
      <c r="I6" s="10"/>
      <c r="J6" s="8"/>
      <c r="K6" s="8"/>
      <c r="L6" s="8"/>
      <c r="M6" s="8"/>
      <c r="N6" s="8"/>
      <c r="O6" s="8"/>
      <c r="P6" s="8"/>
      <c r="Q6" s="8"/>
      <c r="R6" s="8"/>
      <c r="S6" s="8"/>
      <c r="T6" s="8"/>
      <c r="U6" s="8"/>
      <c r="V6" s="8"/>
      <c r="W6" s="8"/>
      <c r="X6" s="8"/>
      <c r="Y6" s="8"/>
      <c r="Z6" s="8"/>
    </row>
    <row r="7" spans="1:26" ht="30.75" customHeight="1" thickBot="1" x14ac:dyDescent="0.25">
      <c r="A7" s="225"/>
      <c r="B7" s="108">
        <v>3</v>
      </c>
      <c r="C7" s="109" t="s">
        <v>12</v>
      </c>
      <c r="D7" s="110"/>
      <c r="E7" s="110"/>
      <c r="F7" s="110"/>
      <c r="G7" s="110"/>
      <c r="H7" s="110"/>
      <c r="I7" s="9" t="str">
        <f>IF(D7="X","N",IF(E7="X","CN",IF(F7="X","AV",IF(G7="X","CS",IF(H7="X","S","")))))</f>
        <v/>
      </c>
      <c r="J7" s="8"/>
      <c r="K7" s="8"/>
      <c r="L7" s="8"/>
      <c r="M7" s="8"/>
      <c r="N7" s="8"/>
      <c r="O7" s="8"/>
      <c r="P7" s="8"/>
      <c r="Q7" s="8"/>
      <c r="R7" s="8"/>
      <c r="S7" s="8"/>
      <c r="T7" s="8"/>
      <c r="U7" s="8"/>
      <c r="V7" s="8"/>
      <c r="W7" s="8"/>
      <c r="X7" s="8"/>
      <c r="Y7" s="8"/>
      <c r="Z7" s="8"/>
    </row>
    <row r="8" spans="1:26" ht="30.75" customHeight="1" thickBot="1" x14ac:dyDescent="0.25">
      <c r="A8" s="228" t="s">
        <v>13</v>
      </c>
      <c r="B8" s="108">
        <v>4</v>
      </c>
      <c r="C8" s="109" t="s">
        <v>14</v>
      </c>
      <c r="D8" s="110"/>
      <c r="E8" s="110"/>
      <c r="F8" s="110"/>
      <c r="G8" s="110"/>
      <c r="H8" s="110"/>
      <c r="I8" s="11"/>
      <c r="J8" s="8"/>
      <c r="K8" s="8"/>
      <c r="L8" s="8"/>
      <c r="M8" s="8"/>
      <c r="N8" s="8"/>
      <c r="O8" s="8"/>
      <c r="P8" s="8"/>
      <c r="Q8" s="8"/>
      <c r="R8" s="8"/>
      <c r="S8" s="8"/>
      <c r="T8" s="8"/>
      <c r="U8" s="8"/>
      <c r="V8" s="8"/>
      <c r="W8" s="8"/>
      <c r="X8" s="8"/>
      <c r="Y8" s="8"/>
      <c r="Z8" s="8"/>
    </row>
    <row r="9" spans="1:26" ht="30.75" customHeight="1" thickBot="1" x14ac:dyDescent="0.25">
      <c r="A9" s="229"/>
      <c r="B9" s="108">
        <v>5</v>
      </c>
      <c r="C9" s="109" t="s">
        <v>15</v>
      </c>
      <c r="D9" s="110"/>
      <c r="E9" s="110"/>
      <c r="F9" s="110"/>
      <c r="G9" s="110"/>
      <c r="H9" s="110"/>
      <c r="I9" s="11"/>
      <c r="J9" s="8"/>
      <c r="K9" s="8"/>
      <c r="L9" s="8"/>
      <c r="M9" s="8"/>
      <c r="N9" s="8"/>
      <c r="O9" s="8"/>
      <c r="P9" s="8"/>
      <c r="Q9" s="8"/>
      <c r="R9" s="8"/>
      <c r="S9" s="8"/>
      <c r="T9" s="8"/>
      <c r="U9" s="8"/>
      <c r="V9" s="8"/>
      <c r="W9" s="8"/>
      <c r="X9" s="8"/>
      <c r="Y9" s="8"/>
      <c r="Z9" s="8"/>
    </row>
    <row r="10" spans="1:26" ht="30.75" customHeight="1" thickBot="1" x14ac:dyDescent="0.25">
      <c r="A10" s="230"/>
      <c r="B10" s="108">
        <v>6</v>
      </c>
      <c r="C10" s="109" t="s">
        <v>311</v>
      </c>
      <c r="D10" s="110"/>
      <c r="E10" s="110"/>
      <c r="F10" s="110"/>
      <c r="G10" s="110"/>
      <c r="H10" s="110"/>
      <c r="I10" s="12"/>
      <c r="J10" s="8"/>
      <c r="K10" s="8"/>
      <c r="L10" s="8"/>
      <c r="M10" s="8"/>
      <c r="N10" s="8"/>
      <c r="O10" s="8"/>
      <c r="P10" s="8"/>
      <c r="Q10" s="8"/>
      <c r="R10" s="8"/>
      <c r="S10" s="8"/>
      <c r="T10" s="8"/>
      <c r="U10" s="8"/>
      <c r="V10" s="8"/>
      <c r="W10" s="8"/>
      <c r="X10" s="8"/>
      <c r="Y10" s="8"/>
      <c r="Z10" s="8"/>
    </row>
    <row r="11" spans="1:26" ht="30.75" customHeight="1" thickBot="1" x14ac:dyDescent="0.25">
      <c r="A11" s="231" t="s">
        <v>16</v>
      </c>
      <c r="B11" s="108">
        <v>7</v>
      </c>
      <c r="C11" s="109" t="s">
        <v>312</v>
      </c>
      <c r="D11" s="110"/>
      <c r="E11" s="110"/>
      <c r="F11" s="110"/>
      <c r="G11" s="110"/>
      <c r="H11" s="110"/>
      <c r="I11" s="9" t="str">
        <f>IF(D11="X","N",IF(E11="X","CN",IF(F11="X","AV",IF(G11="X","CS",IF(H11="X","S","")))))</f>
        <v/>
      </c>
      <c r="J11" s="8"/>
      <c r="K11" s="8"/>
      <c r="L11" s="8"/>
      <c r="M11" s="8"/>
      <c r="N11" s="8"/>
      <c r="O11" s="8"/>
      <c r="P11" s="8"/>
      <c r="Q11" s="8"/>
      <c r="R11" s="8"/>
      <c r="S11" s="8"/>
      <c r="T11" s="8"/>
      <c r="U11" s="8"/>
      <c r="V11" s="8"/>
      <c r="W11" s="8"/>
      <c r="X11" s="8"/>
      <c r="Y11" s="8"/>
      <c r="Z11" s="8"/>
    </row>
    <row r="12" spans="1:26" ht="30.75" customHeight="1" thickBot="1" x14ac:dyDescent="0.25">
      <c r="A12" s="232"/>
      <c r="B12" s="108">
        <v>8</v>
      </c>
      <c r="C12" s="109" t="s">
        <v>313</v>
      </c>
      <c r="D12" s="110"/>
      <c r="E12" s="110"/>
      <c r="F12" s="110"/>
      <c r="G12" s="110"/>
      <c r="H12" s="110"/>
      <c r="I12" s="13"/>
      <c r="J12" s="8"/>
      <c r="K12" s="8"/>
      <c r="L12" s="8"/>
      <c r="M12" s="8"/>
      <c r="N12" s="8"/>
      <c r="O12" s="8"/>
      <c r="P12" s="8"/>
      <c r="Q12" s="8"/>
      <c r="R12" s="8"/>
      <c r="S12" s="8"/>
      <c r="T12" s="8"/>
      <c r="U12" s="8"/>
      <c r="V12" s="8"/>
      <c r="W12" s="8"/>
      <c r="X12" s="8"/>
      <c r="Y12" s="8"/>
      <c r="Z12" s="8"/>
    </row>
    <row r="13" spans="1:26" ht="30.75" customHeight="1" thickBot="1" x14ac:dyDescent="0.25">
      <c r="A13" s="233"/>
      <c r="B13" s="108">
        <v>9</v>
      </c>
      <c r="C13" s="112" t="s">
        <v>314</v>
      </c>
      <c r="D13" s="110"/>
      <c r="E13" s="110"/>
      <c r="F13" s="110"/>
      <c r="G13" s="110"/>
      <c r="H13" s="110"/>
      <c r="I13" s="9" t="str">
        <f t="shared" ref="I13:I14" si="0">IF(D13="X","N",IF(E13="X","CN",IF(F13="X","AV",IF(G13="X","CS",IF(H13="X","S","")))))</f>
        <v/>
      </c>
      <c r="J13" s="8"/>
      <c r="K13" s="8"/>
      <c r="L13" s="8"/>
      <c r="M13" s="8"/>
      <c r="N13" s="8"/>
      <c r="O13" s="8"/>
      <c r="P13" s="8"/>
      <c r="Q13" s="8"/>
      <c r="R13" s="8"/>
      <c r="S13" s="8"/>
      <c r="T13" s="8"/>
      <c r="U13" s="8"/>
      <c r="V13" s="8"/>
      <c r="W13" s="8"/>
      <c r="X13" s="8"/>
      <c r="Y13" s="8"/>
      <c r="Z13" s="8"/>
    </row>
    <row r="14" spans="1:26" ht="30.75" customHeight="1" thickBot="1" x14ac:dyDescent="0.25">
      <c r="A14" s="223" t="s">
        <v>17</v>
      </c>
      <c r="B14" s="108">
        <v>10</v>
      </c>
      <c r="C14" s="109" t="s">
        <v>315</v>
      </c>
      <c r="D14" s="110"/>
      <c r="E14" s="110"/>
      <c r="F14" s="110"/>
      <c r="G14" s="110"/>
      <c r="H14" s="110"/>
      <c r="I14" s="9" t="str">
        <f t="shared" si="0"/>
        <v/>
      </c>
      <c r="J14" s="8"/>
      <c r="K14" s="8"/>
      <c r="L14" s="8"/>
      <c r="M14" s="8"/>
      <c r="N14" s="8"/>
      <c r="O14" s="8"/>
      <c r="P14" s="8"/>
      <c r="Q14" s="8"/>
      <c r="R14" s="8"/>
      <c r="S14" s="8"/>
      <c r="T14" s="8"/>
      <c r="U14" s="8"/>
      <c r="V14" s="8"/>
      <c r="W14" s="8"/>
      <c r="X14" s="8"/>
      <c r="Y14" s="8"/>
      <c r="Z14" s="8"/>
    </row>
    <row r="15" spans="1:26" ht="30.75" customHeight="1" thickBot="1" x14ac:dyDescent="0.25">
      <c r="A15" s="224"/>
      <c r="B15" s="108">
        <v>11</v>
      </c>
      <c r="C15" s="109" t="s">
        <v>18</v>
      </c>
      <c r="D15" s="110"/>
      <c r="E15" s="110"/>
      <c r="F15" s="110"/>
      <c r="G15" s="110"/>
      <c r="H15" s="110"/>
      <c r="I15" s="11"/>
      <c r="J15" s="8"/>
      <c r="K15" s="8"/>
      <c r="L15" s="8"/>
      <c r="M15" s="8"/>
      <c r="N15" s="8"/>
      <c r="O15" s="8"/>
      <c r="P15" s="8"/>
      <c r="Q15" s="8"/>
      <c r="R15" s="8"/>
      <c r="S15" s="8"/>
      <c r="T15" s="8"/>
      <c r="U15" s="8"/>
      <c r="V15" s="8"/>
      <c r="W15" s="8"/>
      <c r="X15" s="8"/>
      <c r="Y15" s="8"/>
      <c r="Z15" s="8"/>
    </row>
    <row r="16" spans="1:26" ht="30.75" customHeight="1" thickBot="1" x14ac:dyDescent="0.25">
      <c r="A16" s="224"/>
      <c r="B16" s="108">
        <v>12</v>
      </c>
      <c r="C16" s="109" t="s">
        <v>19</v>
      </c>
      <c r="D16" s="110"/>
      <c r="E16" s="110"/>
      <c r="F16" s="110"/>
      <c r="G16" s="110"/>
      <c r="H16" s="110"/>
      <c r="I16" s="9" t="str">
        <f>IF(D16="X","N",IF(E16="X","CN",IF(F16="X","AV",IF(G16="X","CS",IF(H16="X","S","")))))</f>
        <v/>
      </c>
      <c r="J16" s="8"/>
      <c r="K16" s="8"/>
      <c r="L16" s="8"/>
      <c r="M16" s="8"/>
      <c r="N16" s="8"/>
      <c r="O16" s="8"/>
      <c r="P16" s="8"/>
      <c r="Q16" s="8"/>
      <c r="R16" s="8"/>
      <c r="S16" s="8"/>
      <c r="T16" s="8"/>
      <c r="U16" s="8"/>
      <c r="V16" s="8"/>
      <c r="W16" s="8"/>
      <c r="X16" s="8"/>
      <c r="Y16" s="8"/>
      <c r="Z16" s="8"/>
    </row>
    <row r="17" spans="1:26" ht="30.75" customHeight="1" thickBot="1" x14ac:dyDescent="0.25">
      <c r="A17" s="225"/>
      <c r="B17" s="108">
        <v>13</v>
      </c>
      <c r="C17" s="109" t="s">
        <v>20</v>
      </c>
      <c r="D17" s="110"/>
      <c r="E17" s="110"/>
      <c r="F17" s="110"/>
      <c r="G17" s="110"/>
      <c r="H17" s="110"/>
      <c r="I17" s="11"/>
      <c r="J17" s="8"/>
      <c r="K17" s="8"/>
      <c r="L17" s="8"/>
      <c r="M17" s="8"/>
      <c r="N17" s="8"/>
      <c r="O17" s="8"/>
      <c r="P17" s="8"/>
      <c r="Q17" s="8"/>
      <c r="R17" s="8"/>
      <c r="S17" s="8"/>
      <c r="T17" s="8"/>
      <c r="U17" s="8"/>
      <c r="V17" s="8"/>
      <c r="W17" s="8"/>
      <c r="X17" s="8"/>
      <c r="Y17" s="8"/>
      <c r="Z17" s="8"/>
    </row>
    <row r="18" spans="1:26" ht="30.75" customHeight="1" thickBot="1" x14ac:dyDescent="0.25">
      <c r="A18" s="228" t="s">
        <v>21</v>
      </c>
      <c r="B18" s="108">
        <v>14</v>
      </c>
      <c r="C18" s="109" t="s">
        <v>22</v>
      </c>
      <c r="D18" s="110"/>
      <c r="E18" s="110"/>
      <c r="F18" s="110"/>
      <c r="G18" s="110"/>
      <c r="H18" s="110"/>
      <c r="I18" s="9" t="str">
        <f t="shared" ref="I18:I21" si="1">IF(D18="X","N",IF(E18="X","CN",IF(F18="X","AV",IF(G18="X","CS",IF(H18="X","S","")))))</f>
        <v/>
      </c>
      <c r="J18" s="8"/>
      <c r="K18" s="8"/>
      <c r="L18" s="8"/>
      <c r="M18" s="8"/>
      <c r="N18" s="8"/>
      <c r="O18" s="8"/>
      <c r="P18" s="8"/>
      <c r="Q18" s="8"/>
      <c r="R18" s="8"/>
      <c r="S18" s="8"/>
      <c r="T18" s="8"/>
      <c r="U18" s="8"/>
      <c r="V18" s="8"/>
      <c r="W18" s="8"/>
      <c r="X18" s="8"/>
      <c r="Y18" s="8"/>
      <c r="Z18" s="8"/>
    </row>
    <row r="19" spans="1:26" ht="30.75" customHeight="1" thickBot="1" x14ac:dyDescent="0.25">
      <c r="A19" s="229"/>
      <c r="B19" s="108">
        <v>15</v>
      </c>
      <c r="C19" s="109" t="s">
        <v>23</v>
      </c>
      <c r="D19" s="110"/>
      <c r="E19" s="110"/>
      <c r="F19" s="110"/>
      <c r="G19" s="110"/>
      <c r="H19" s="110"/>
      <c r="I19" s="9" t="str">
        <f t="shared" si="1"/>
        <v/>
      </c>
      <c r="J19" s="8"/>
      <c r="K19" s="8"/>
      <c r="L19" s="8"/>
      <c r="M19" s="8"/>
      <c r="N19" s="8"/>
      <c r="O19" s="8"/>
      <c r="P19" s="8"/>
      <c r="Q19" s="8"/>
      <c r="R19" s="8"/>
      <c r="S19" s="8"/>
      <c r="T19" s="8"/>
      <c r="U19" s="8"/>
      <c r="V19" s="8"/>
      <c r="W19" s="8"/>
      <c r="X19" s="8"/>
      <c r="Y19" s="8"/>
      <c r="Z19" s="8"/>
    </row>
    <row r="20" spans="1:26" ht="30.75" customHeight="1" thickBot="1" x14ac:dyDescent="0.25">
      <c r="A20" s="230"/>
      <c r="B20" s="108">
        <v>16</v>
      </c>
      <c r="C20" s="109" t="s">
        <v>24</v>
      </c>
      <c r="D20" s="110"/>
      <c r="E20" s="110"/>
      <c r="F20" s="110"/>
      <c r="G20" s="110"/>
      <c r="H20" s="110"/>
      <c r="I20" s="9" t="str">
        <f t="shared" si="1"/>
        <v/>
      </c>
      <c r="J20" s="8"/>
      <c r="K20" s="8"/>
      <c r="L20" s="8"/>
      <c r="M20" s="8"/>
      <c r="N20" s="8"/>
      <c r="O20" s="8"/>
      <c r="P20" s="8"/>
      <c r="Q20" s="8"/>
      <c r="R20" s="8"/>
      <c r="S20" s="8"/>
      <c r="T20" s="8"/>
      <c r="U20" s="8"/>
      <c r="V20" s="8"/>
      <c r="W20" s="8"/>
      <c r="X20" s="8"/>
      <c r="Y20" s="8"/>
      <c r="Z20" s="8"/>
    </row>
    <row r="21" spans="1:26" ht="30.75" customHeight="1" thickBot="1" x14ac:dyDescent="0.25">
      <c r="A21" s="231" t="s">
        <v>25</v>
      </c>
      <c r="B21" s="108">
        <v>17</v>
      </c>
      <c r="C21" s="109" t="s">
        <v>316</v>
      </c>
      <c r="D21" s="110"/>
      <c r="E21" s="110"/>
      <c r="F21" s="110"/>
      <c r="G21" s="110"/>
      <c r="H21" s="110"/>
      <c r="I21" s="9" t="str">
        <f t="shared" si="1"/>
        <v/>
      </c>
      <c r="J21" s="8"/>
      <c r="K21" s="8"/>
      <c r="L21" s="8"/>
      <c r="M21" s="8"/>
      <c r="N21" s="8"/>
      <c r="O21" s="8"/>
      <c r="P21" s="8"/>
      <c r="Q21" s="8"/>
      <c r="R21" s="8"/>
      <c r="S21" s="8"/>
      <c r="T21" s="8"/>
      <c r="U21" s="8"/>
      <c r="V21" s="8"/>
      <c r="W21" s="8"/>
      <c r="X21" s="8"/>
      <c r="Y21" s="8"/>
      <c r="Z21" s="8"/>
    </row>
    <row r="22" spans="1:26" ht="30.75" customHeight="1" thickBot="1" x14ac:dyDescent="0.25">
      <c r="A22" s="232"/>
      <c r="B22" s="108">
        <v>18</v>
      </c>
      <c r="C22" s="109" t="s">
        <v>317</v>
      </c>
      <c r="D22" s="110"/>
      <c r="E22" s="110"/>
      <c r="F22" s="110"/>
      <c r="G22" s="110"/>
      <c r="H22" s="110"/>
      <c r="I22" s="7"/>
      <c r="J22" s="8"/>
      <c r="K22" s="8"/>
      <c r="L22" s="8"/>
      <c r="M22" s="8"/>
      <c r="N22" s="8"/>
      <c r="O22" s="8"/>
      <c r="P22" s="8"/>
      <c r="Q22" s="8"/>
      <c r="R22" s="8"/>
      <c r="S22" s="8"/>
      <c r="T22" s="8"/>
      <c r="U22" s="8"/>
      <c r="V22" s="8"/>
      <c r="W22" s="8"/>
      <c r="X22" s="8"/>
      <c r="Y22" s="8"/>
      <c r="Z22" s="8"/>
    </row>
    <row r="23" spans="1:26" ht="30.75" customHeight="1" thickBot="1" x14ac:dyDescent="0.25">
      <c r="A23" s="233"/>
      <c r="B23" s="108">
        <v>19</v>
      </c>
      <c r="C23" s="109" t="s">
        <v>26</v>
      </c>
      <c r="D23" s="110"/>
      <c r="E23" s="110"/>
      <c r="F23" s="110"/>
      <c r="G23" s="110"/>
      <c r="H23" s="110"/>
      <c r="I23" s="9" t="str">
        <f>IF(D23="X","N",IF(E23="X","CN",IF(F23="X","AV",IF(G23="X","CS",IF(H23="X","S","")))))</f>
        <v/>
      </c>
      <c r="J23" s="8"/>
      <c r="K23" s="8"/>
      <c r="L23" s="8"/>
      <c r="M23" s="8"/>
      <c r="N23" s="8"/>
      <c r="O23" s="8"/>
      <c r="P23" s="8"/>
      <c r="Q23" s="8"/>
      <c r="R23" s="8"/>
      <c r="S23" s="8"/>
      <c r="T23" s="8"/>
      <c r="U23" s="8"/>
      <c r="V23" s="8"/>
      <c r="W23" s="8"/>
      <c r="X23" s="8"/>
      <c r="Y23" s="8"/>
      <c r="Z23" s="8"/>
    </row>
    <row r="24" spans="1:26" ht="30.75" customHeight="1" thickBot="1" x14ac:dyDescent="0.25">
      <c r="A24" s="223" t="s">
        <v>27</v>
      </c>
      <c r="B24" s="108">
        <v>20</v>
      </c>
      <c r="C24" s="109" t="s">
        <v>28</v>
      </c>
      <c r="D24" s="110"/>
      <c r="E24" s="110"/>
      <c r="F24" s="110"/>
      <c r="G24" s="110"/>
      <c r="H24" s="110"/>
      <c r="I24" s="6"/>
      <c r="J24" s="8"/>
      <c r="K24" s="8"/>
      <c r="L24" s="8"/>
      <c r="M24" s="8"/>
      <c r="N24" s="8"/>
      <c r="O24" s="8"/>
      <c r="P24" s="8"/>
      <c r="Q24" s="8"/>
      <c r="R24" s="8"/>
      <c r="S24" s="8"/>
      <c r="T24" s="8"/>
      <c r="U24" s="8"/>
      <c r="V24" s="8"/>
      <c r="W24" s="8"/>
      <c r="X24" s="8"/>
      <c r="Y24" s="8"/>
      <c r="Z24" s="8"/>
    </row>
    <row r="25" spans="1:26" ht="30.75" customHeight="1" thickBot="1" x14ac:dyDescent="0.25">
      <c r="A25" s="224"/>
      <c r="B25" s="108">
        <v>21</v>
      </c>
      <c r="C25" s="109" t="s">
        <v>29</v>
      </c>
      <c r="D25" s="110"/>
      <c r="E25" s="110"/>
      <c r="F25" s="110"/>
      <c r="G25" s="110"/>
      <c r="H25" s="110"/>
      <c r="I25" s="9" t="str">
        <f t="shared" ref="I25:I27" si="2">IF(D25="X","N",IF(E25="X","CN",IF(F25="X","AV",IF(G25="X","CS",IF(H25="X","S","")))))</f>
        <v/>
      </c>
      <c r="J25" s="8"/>
      <c r="K25" s="8"/>
      <c r="L25" s="8"/>
      <c r="M25" s="8"/>
      <c r="N25" s="8"/>
      <c r="O25" s="8"/>
      <c r="P25" s="8"/>
      <c r="Q25" s="8"/>
      <c r="R25" s="8"/>
      <c r="S25" s="8"/>
      <c r="T25" s="8"/>
      <c r="U25" s="8"/>
      <c r="V25" s="8"/>
      <c r="W25" s="8"/>
      <c r="X25" s="8"/>
      <c r="Y25" s="8"/>
      <c r="Z25" s="8"/>
    </row>
    <row r="26" spans="1:26" ht="30.75" customHeight="1" thickBot="1" x14ac:dyDescent="0.25">
      <c r="A26" s="225"/>
      <c r="B26" s="108">
        <v>22</v>
      </c>
      <c r="C26" s="109" t="s">
        <v>30</v>
      </c>
      <c r="D26" s="110"/>
      <c r="E26" s="110"/>
      <c r="F26" s="110"/>
      <c r="G26" s="110"/>
      <c r="H26" s="110"/>
      <c r="I26" s="9" t="str">
        <f t="shared" si="2"/>
        <v/>
      </c>
    </row>
    <row r="27" spans="1:26" ht="30.75" customHeight="1" thickBot="1" x14ac:dyDescent="0.25">
      <c r="A27" s="234" t="s">
        <v>31</v>
      </c>
      <c r="B27" s="108">
        <v>23</v>
      </c>
      <c r="C27" s="109" t="s">
        <v>32</v>
      </c>
      <c r="D27" s="110"/>
      <c r="E27" s="110"/>
      <c r="F27" s="110"/>
      <c r="G27" s="110"/>
      <c r="H27" s="110"/>
      <c r="I27" s="9" t="str">
        <f t="shared" si="2"/>
        <v/>
      </c>
    </row>
    <row r="28" spans="1:26" ht="30.75" customHeight="1" thickBot="1" x14ac:dyDescent="0.25">
      <c r="A28" s="235"/>
      <c r="B28" s="108">
        <v>24</v>
      </c>
      <c r="C28" s="109" t="s">
        <v>33</v>
      </c>
      <c r="D28" s="110"/>
      <c r="E28" s="110"/>
      <c r="F28" s="110"/>
      <c r="G28" s="110"/>
      <c r="H28" s="110"/>
      <c r="I28" s="11"/>
    </row>
    <row r="29" spans="1:26" ht="30.75" customHeight="1" thickBot="1" x14ac:dyDescent="0.25">
      <c r="A29" s="235"/>
      <c r="B29" s="108">
        <v>25</v>
      </c>
      <c r="C29" s="109" t="s">
        <v>34</v>
      </c>
      <c r="D29" s="110"/>
      <c r="E29" s="110"/>
      <c r="F29" s="110"/>
      <c r="G29" s="110"/>
      <c r="H29" s="110"/>
      <c r="I29" s="7"/>
    </row>
    <row r="30" spans="1:26" ht="30.75" customHeight="1" thickBot="1" x14ac:dyDescent="0.25">
      <c r="A30" s="236"/>
      <c r="B30" s="108">
        <v>26</v>
      </c>
      <c r="C30" s="109" t="s">
        <v>35</v>
      </c>
      <c r="D30" s="110"/>
      <c r="E30" s="110"/>
      <c r="F30" s="110"/>
      <c r="G30" s="110"/>
      <c r="H30" s="110"/>
      <c r="I30" s="7"/>
    </row>
    <row r="31" spans="1:26" ht="30.75" customHeight="1" thickBot="1" x14ac:dyDescent="0.25">
      <c r="A31" s="237" t="s">
        <v>36</v>
      </c>
      <c r="B31" s="108">
        <v>27</v>
      </c>
      <c r="C31" s="109" t="s">
        <v>37</v>
      </c>
      <c r="D31" s="110"/>
      <c r="E31" s="110"/>
      <c r="F31" s="110"/>
      <c r="G31" s="110"/>
      <c r="H31" s="110"/>
      <c r="I31" s="9" t="str">
        <f t="shared" ref="I31:I49" si="3">IF(D31="X","N",IF(E31="X","CN",IF(F31="X","AV",IF(G31="X","CS",IF(H31="X","S","")))))</f>
        <v/>
      </c>
    </row>
    <row r="32" spans="1:26" ht="30.75" customHeight="1" thickBot="1" x14ac:dyDescent="0.25">
      <c r="A32" s="238"/>
      <c r="B32" s="108">
        <v>28</v>
      </c>
      <c r="C32" s="109" t="s">
        <v>38</v>
      </c>
      <c r="D32" s="110"/>
      <c r="E32" s="110"/>
      <c r="F32" s="110"/>
      <c r="G32" s="110"/>
      <c r="H32" s="110"/>
      <c r="I32" s="9" t="str">
        <f t="shared" si="3"/>
        <v/>
      </c>
    </row>
    <row r="33" spans="1:9" ht="30.75" customHeight="1" thickBot="1" x14ac:dyDescent="0.25">
      <c r="A33" s="238"/>
      <c r="B33" s="108">
        <v>29</v>
      </c>
      <c r="C33" s="109" t="s">
        <v>39</v>
      </c>
      <c r="D33" s="110"/>
      <c r="E33" s="110"/>
      <c r="F33" s="110"/>
      <c r="G33" s="110"/>
      <c r="H33" s="110"/>
      <c r="I33" s="9" t="str">
        <f t="shared" si="3"/>
        <v/>
      </c>
    </row>
    <row r="34" spans="1:9" ht="30.75" customHeight="1" thickBot="1" x14ac:dyDescent="0.25">
      <c r="A34" s="239"/>
      <c r="B34" s="108">
        <v>30</v>
      </c>
      <c r="C34" s="109" t="s">
        <v>40</v>
      </c>
      <c r="D34" s="110"/>
      <c r="E34" s="110"/>
      <c r="F34" s="110"/>
      <c r="G34" s="110"/>
      <c r="H34" s="110"/>
      <c r="I34" s="9" t="str">
        <f t="shared" si="3"/>
        <v/>
      </c>
    </row>
    <row r="35" spans="1:9" ht="30.75" customHeight="1" thickBot="1" x14ac:dyDescent="0.25">
      <c r="A35" s="240" t="s">
        <v>41</v>
      </c>
      <c r="B35" s="108">
        <v>31</v>
      </c>
      <c r="C35" s="109" t="s">
        <v>42</v>
      </c>
      <c r="D35" s="110"/>
      <c r="E35" s="110"/>
      <c r="F35" s="110"/>
      <c r="G35" s="110"/>
      <c r="H35" s="110"/>
      <c r="I35" s="9" t="str">
        <f t="shared" si="3"/>
        <v/>
      </c>
    </row>
    <row r="36" spans="1:9" ht="30.75" customHeight="1" thickBot="1" x14ac:dyDescent="0.25">
      <c r="A36" s="241"/>
      <c r="B36" s="108">
        <v>32</v>
      </c>
      <c r="C36" s="109" t="s">
        <v>43</v>
      </c>
      <c r="D36" s="110"/>
      <c r="E36" s="110"/>
      <c r="F36" s="110"/>
      <c r="G36" s="110"/>
      <c r="H36" s="110"/>
      <c r="I36" s="9" t="str">
        <f t="shared" si="3"/>
        <v/>
      </c>
    </row>
    <row r="37" spans="1:9" ht="30.75" customHeight="1" thickBot="1" x14ac:dyDescent="0.25">
      <c r="A37" s="241"/>
      <c r="B37" s="108">
        <v>33</v>
      </c>
      <c r="C37" s="109" t="s">
        <v>44</v>
      </c>
      <c r="D37" s="110"/>
      <c r="E37" s="110"/>
      <c r="F37" s="110"/>
      <c r="G37" s="110"/>
      <c r="H37" s="110"/>
      <c r="I37" s="9" t="str">
        <f t="shared" si="3"/>
        <v/>
      </c>
    </row>
    <row r="38" spans="1:9" ht="30.75" customHeight="1" thickBot="1" x14ac:dyDescent="0.25">
      <c r="A38" s="242"/>
      <c r="B38" s="108">
        <v>34</v>
      </c>
      <c r="C38" s="109" t="s">
        <v>45</v>
      </c>
      <c r="D38" s="110"/>
      <c r="E38" s="110"/>
      <c r="F38" s="110"/>
      <c r="G38" s="110"/>
      <c r="H38" s="110"/>
      <c r="I38" s="9" t="str">
        <f t="shared" si="3"/>
        <v/>
      </c>
    </row>
    <row r="39" spans="1:9" ht="30.75" customHeight="1" thickBot="1" x14ac:dyDescent="0.25">
      <c r="A39" s="223" t="s">
        <v>46</v>
      </c>
      <c r="B39" s="108">
        <v>35</v>
      </c>
      <c r="C39" s="109" t="s">
        <v>47</v>
      </c>
      <c r="D39" s="110"/>
      <c r="E39" s="110"/>
      <c r="F39" s="110"/>
      <c r="G39" s="110"/>
      <c r="H39" s="110"/>
      <c r="I39" s="9" t="str">
        <f t="shared" si="3"/>
        <v/>
      </c>
    </row>
    <row r="40" spans="1:9" ht="30.75" customHeight="1" thickBot="1" x14ac:dyDescent="0.25">
      <c r="A40" s="224"/>
      <c r="B40" s="108">
        <v>36</v>
      </c>
      <c r="C40" s="109" t="s">
        <v>48</v>
      </c>
      <c r="D40" s="110"/>
      <c r="E40" s="110"/>
      <c r="F40" s="110"/>
      <c r="G40" s="110"/>
      <c r="H40" s="110"/>
      <c r="I40" s="9" t="str">
        <f t="shared" si="3"/>
        <v/>
      </c>
    </row>
    <row r="41" spans="1:9" ht="30.75" customHeight="1" thickBot="1" x14ac:dyDescent="0.25">
      <c r="A41" s="224"/>
      <c r="B41" s="108">
        <v>37</v>
      </c>
      <c r="C41" s="109" t="s">
        <v>49</v>
      </c>
      <c r="D41" s="110"/>
      <c r="E41" s="110"/>
      <c r="F41" s="110"/>
      <c r="G41" s="110"/>
      <c r="H41" s="110"/>
      <c r="I41" s="9" t="str">
        <f t="shared" si="3"/>
        <v/>
      </c>
    </row>
    <row r="42" spans="1:9" ht="30.75" customHeight="1" thickBot="1" x14ac:dyDescent="0.25">
      <c r="A42" s="225"/>
      <c r="B42" s="108">
        <v>38</v>
      </c>
      <c r="C42" s="109" t="s">
        <v>50</v>
      </c>
      <c r="D42" s="110"/>
      <c r="E42" s="110"/>
      <c r="F42" s="110"/>
      <c r="G42" s="110"/>
      <c r="H42" s="110"/>
      <c r="I42" s="9" t="str">
        <f t="shared" si="3"/>
        <v/>
      </c>
    </row>
    <row r="43" spans="1:9" ht="30.75" customHeight="1" x14ac:dyDescent="0.2">
      <c r="A43" s="102"/>
      <c r="B43" s="102"/>
      <c r="C43" s="103"/>
      <c r="D43" s="103"/>
      <c r="E43" s="103"/>
      <c r="F43" s="103"/>
      <c r="G43" s="103"/>
      <c r="H43" s="103"/>
      <c r="I43" s="9" t="str">
        <f t="shared" si="3"/>
        <v/>
      </c>
    </row>
    <row r="44" spans="1:9" ht="30.75" customHeight="1" x14ac:dyDescent="0.2">
      <c r="A44" s="243" t="s">
        <v>51</v>
      </c>
      <c r="B44" s="243"/>
      <c r="C44" s="243"/>
      <c r="D44" s="103"/>
      <c r="E44" s="103"/>
      <c r="F44" s="103"/>
      <c r="G44" s="103"/>
      <c r="H44" s="103"/>
      <c r="I44" s="9" t="str">
        <f t="shared" si="3"/>
        <v/>
      </c>
    </row>
    <row r="45" spans="1:9" ht="30.75" customHeight="1" x14ac:dyDescent="0.2">
      <c r="A45" s="102"/>
      <c r="B45" s="102"/>
      <c r="C45" s="102"/>
      <c r="D45" s="103"/>
      <c r="E45" s="103"/>
      <c r="F45" s="103"/>
      <c r="G45" s="103"/>
      <c r="H45" s="103"/>
      <c r="I45" s="9" t="str">
        <f t="shared" si="3"/>
        <v/>
      </c>
    </row>
    <row r="46" spans="1:9" ht="30.75" customHeight="1" x14ac:dyDescent="0.2">
      <c r="A46" s="102"/>
      <c r="B46" s="102"/>
      <c r="C46" s="102"/>
      <c r="D46" s="103"/>
      <c r="E46" s="103"/>
      <c r="F46" s="103"/>
      <c r="G46" s="103"/>
      <c r="H46" s="103"/>
      <c r="I46" s="9" t="str">
        <f t="shared" si="3"/>
        <v/>
      </c>
    </row>
    <row r="47" spans="1:9" ht="30.75" customHeight="1" thickBot="1" x14ac:dyDescent="0.25">
      <c r="A47" s="102"/>
      <c r="B47" s="113"/>
      <c r="C47" s="113"/>
      <c r="D47" s="114" t="s">
        <v>52</v>
      </c>
      <c r="E47" s="103"/>
      <c r="F47" s="103"/>
      <c r="G47" s="103"/>
      <c r="H47" s="103"/>
      <c r="I47" s="9" t="str">
        <f t="shared" si="3"/>
        <v/>
      </c>
    </row>
    <row r="48" spans="1:9" ht="30.75" customHeight="1" thickBot="1" x14ac:dyDescent="0.25">
      <c r="A48" s="115"/>
      <c r="B48" s="108">
        <v>39</v>
      </c>
      <c r="C48" s="116" t="s">
        <v>53</v>
      </c>
      <c r="D48" s="117"/>
      <c r="E48" s="103"/>
      <c r="F48" s="103"/>
      <c r="G48" s="103"/>
      <c r="H48" s="103"/>
      <c r="I48" s="9" t="str">
        <f t="shared" si="3"/>
        <v/>
      </c>
    </row>
    <row r="49" spans="1:26" ht="30.75" customHeight="1" x14ac:dyDescent="0.2">
      <c r="A49" s="102"/>
      <c r="B49" s="102"/>
      <c r="C49" s="118" t="s">
        <v>54</v>
      </c>
      <c r="D49" s="103"/>
      <c r="E49" s="103"/>
      <c r="F49" s="103"/>
      <c r="G49" s="103"/>
      <c r="H49" s="103"/>
      <c r="I49" s="9" t="str">
        <f t="shared" si="3"/>
        <v/>
      </c>
    </row>
    <row r="50" spans="1:26" ht="17.25" customHeight="1" thickBot="1" x14ac:dyDescent="0.25">
      <c r="A50" s="102"/>
      <c r="B50" s="113"/>
      <c r="C50" s="119" t="s">
        <v>55</v>
      </c>
      <c r="D50" s="104"/>
      <c r="E50" s="103"/>
      <c r="F50" s="103"/>
      <c r="G50" s="103"/>
      <c r="H50" s="103"/>
      <c r="I50" s="5"/>
    </row>
    <row r="51" spans="1:26" ht="40.5" customHeight="1" thickBot="1" x14ac:dyDescent="0.3">
      <c r="A51" s="115"/>
      <c r="B51" s="108" t="s">
        <v>318</v>
      </c>
      <c r="C51" s="112" t="s">
        <v>56</v>
      </c>
      <c r="D51" s="117"/>
      <c r="E51" s="103"/>
      <c r="F51" s="103"/>
      <c r="G51" s="103"/>
      <c r="H51" s="103"/>
      <c r="I51" s="5"/>
      <c r="J51" s="3"/>
      <c r="K51" s="3"/>
      <c r="L51" s="3"/>
      <c r="M51" s="3"/>
      <c r="N51" s="3"/>
      <c r="O51" s="3"/>
      <c r="P51" s="3"/>
      <c r="Q51" s="3"/>
      <c r="R51" s="3"/>
      <c r="S51" s="3"/>
      <c r="T51" s="3"/>
      <c r="U51" s="3"/>
      <c r="V51" s="3"/>
      <c r="W51" s="3"/>
      <c r="X51" s="3"/>
      <c r="Y51" s="3"/>
      <c r="Z51" s="3"/>
    </row>
    <row r="52" spans="1:26" ht="15.75" customHeight="1" x14ac:dyDescent="0.2">
      <c r="A52" s="102"/>
      <c r="B52" s="102"/>
      <c r="C52" s="118" t="s">
        <v>57</v>
      </c>
      <c r="D52" s="103"/>
      <c r="E52" s="103"/>
      <c r="F52" s="103"/>
      <c r="G52" s="103"/>
      <c r="H52" s="103"/>
      <c r="I52" s="5"/>
    </row>
    <row r="53" spans="1:26" ht="15.75" customHeight="1" thickBot="1" x14ac:dyDescent="0.25">
      <c r="A53" s="102"/>
      <c r="B53" s="113"/>
      <c r="C53" s="119" t="s">
        <v>58</v>
      </c>
      <c r="D53" s="104"/>
      <c r="E53" s="103"/>
      <c r="F53" s="103"/>
      <c r="G53" s="103"/>
      <c r="H53" s="103"/>
      <c r="I53" s="5"/>
    </row>
    <row r="54" spans="1:26" ht="23.25" customHeight="1" thickBot="1" x14ac:dyDescent="0.25">
      <c r="A54" s="115"/>
      <c r="B54" s="108" t="s">
        <v>319</v>
      </c>
      <c r="C54" s="112" t="s">
        <v>59</v>
      </c>
      <c r="D54" s="117"/>
      <c r="E54" s="103"/>
      <c r="F54" s="103"/>
      <c r="G54" s="103"/>
      <c r="H54" s="103"/>
      <c r="I54" s="5"/>
    </row>
    <row r="55" spans="1:26" ht="30.75" customHeight="1" x14ac:dyDescent="0.2">
      <c r="A55" s="102"/>
      <c r="B55" s="102"/>
      <c r="C55" s="118" t="s">
        <v>60</v>
      </c>
      <c r="D55" s="103"/>
      <c r="E55" s="103"/>
      <c r="F55" s="103"/>
      <c r="G55" s="103"/>
      <c r="H55" s="103"/>
      <c r="I55" s="15"/>
      <c r="J55" s="14"/>
      <c r="K55" s="14"/>
      <c r="L55" s="14"/>
      <c r="M55" s="14"/>
      <c r="N55" s="14"/>
      <c r="O55" s="14"/>
      <c r="P55" s="14"/>
      <c r="Q55" s="14"/>
      <c r="R55" s="14"/>
      <c r="S55" s="14"/>
      <c r="T55" s="14"/>
      <c r="U55" s="14"/>
      <c r="V55" s="14"/>
      <c r="W55" s="14"/>
      <c r="X55" s="14"/>
      <c r="Y55" s="14"/>
      <c r="Z55" s="14"/>
    </row>
    <row r="56" spans="1:26" ht="15.75" customHeight="1" thickBot="1" x14ac:dyDescent="0.25">
      <c r="A56" s="102"/>
      <c r="B56" s="113"/>
      <c r="C56" s="119" t="s">
        <v>61</v>
      </c>
      <c r="D56" s="104"/>
      <c r="E56" s="103"/>
      <c r="F56" s="103"/>
      <c r="G56" s="103"/>
      <c r="H56" s="103"/>
      <c r="I56" s="15"/>
      <c r="J56" s="14"/>
      <c r="K56" s="14"/>
      <c r="L56" s="14"/>
      <c r="M56" s="14"/>
      <c r="N56" s="14"/>
      <c r="O56" s="14"/>
      <c r="P56" s="14"/>
      <c r="Q56" s="14"/>
      <c r="R56" s="14"/>
      <c r="S56" s="14"/>
      <c r="T56" s="14"/>
      <c r="U56" s="14"/>
      <c r="V56" s="14"/>
      <c r="W56" s="14"/>
      <c r="X56" s="14"/>
      <c r="Y56" s="14"/>
      <c r="Z56" s="14"/>
    </row>
    <row r="57" spans="1:26" ht="15.75" customHeight="1" thickBot="1" x14ac:dyDescent="0.25">
      <c r="A57" s="115"/>
      <c r="B57" s="108" t="s">
        <v>320</v>
      </c>
      <c r="C57" s="116" t="s">
        <v>62</v>
      </c>
      <c r="D57" s="117"/>
      <c r="E57" s="103"/>
      <c r="F57" s="103"/>
      <c r="G57" s="103"/>
      <c r="H57" s="103"/>
      <c r="I57" s="15"/>
      <c r="J57" s="14"/>
      <c r="K57" s="14"/>
      <c r="L57" s="14"/>
      <c r="M57" s="14"/>
      <c r="N57" s="14"/>
      <c r="O57" s="14"/>
      <c r="P57" s="14"/>
      <c r="Q57" s="14"/>
      <c r="R57" s="14"/>
      <c r="S57" s="14"/>
      <c r="T57" s="14"/>
      <c r="U57" s="14"/>
      <c r="V57" s="14"/>
      <c r="W57" s="14"/>
      <c r="X57" s="14"/>
      <c r="Y57" s="14"/>
      <c r="Z57" s="14"/>
    </row>
    <row r="58" spans="1:26" ht="30.75" customHeight="1" x14ac:dyDescent="0.2">
      <c r="A58" s="102"/>
      <c r="B58" s="102"/>
      <c r="C58" s="118" t="s">
        <v>63</v>
      </c>
      <c r="D58" s="103"/>
      <c r="E58" s="103"/>
      <c r="F58" s="103"/>
      <c r="G58" s="103"/>
      <c r="H58" s="103"/>
      <c r="I58" s="15"/>
      <c r="J58" s="14"/>
      <c r="K58" s="14"/>
      <c r="L58" s="14"/>
      <c r="M58" s="14"/>
      <c r="N58" s="14"/>
      <c r="O58" s="14"/>
      <c r="P58" s="14"/>
      <c r="Q58" s="14"/>
      <c r="R58" s="14"/>
      <c r="S58" s="14"/>
      <c r="T58" s="14"/>
      <c r="U58" s="14"/>
      <c r="V58" s="14"/>
      <c r="W58" s="14"/>
      <c r="X58" s="14"/>
      <c r="Y58" s="14"/>
      <c r="Z58" s="14"/>
    </row>
    <row r="59" spans="1:26" ht="15.75" customHeight="1" thickBot="1" x14ac:dyDescent="0.25">
      <c r="A59" s="102"/>
      <c r="B59" s="113"/>
      <c r="C59" s="119" t="s">
        <v>64</v>
      </c>
      <c r="D59" s="104"/>
      <c r="E59" s="103"/>
      <c r="F59" s="103"/>
      <c r="G59" s="103"/>
      <c r="H59" s="103"/>
      <c r="I59" s="15"/>
      <c r="J59" s="14"/>
      <c r="K59" s="14"/>
      <c r="L59" s="14"/>
      <c r="M59" s="14"/>
      <c r="N59" s="14"/>
      <c r="O59" s="14"/>
      <c r="P59" s="14"/>
      <c r="Q59" s="14"/>
      <c r="R59" s="14"/>
      <c r="S59" s="14"/>
      <c r="T59" s="14"/>
      <c r="U59" s="14"/>
      <c r="V59" s="14"/>
      <c r="W59" s="14"/>
      <c r="X59" s="14"/>
      <c r="Y59" s="14"/>
      <c r="Z59" s="14"/>
    </row>
    <row r="60" spans="1:26" ht="15.75" customHeight="1" thickBot="1" x14ac:dyDescent="0.25">
      <c r="A60" s="115"/>
      <c r="B60" s="108" t="s">
        <v>321</v>
      </c>
      <c r="C60" s="116" t="s">
        <v>65</v>
      </c>
      <c r="D60" s="117"/>
      <c r="E60" s="103"/>
      <c r="F60" s="103"/>
      <c r="G60" s="103"/>
      <c r="H60" s="103"/>
      <c r="I60" s="15"/>
      <c r="J60" s="14"/>
      <c r="K60" s="14"/>
      <c r="L60" s="14"/>
      <c r="M60" s="14"/>
      <c r="N60" s="14"/>
      <c r="O60" s="14"/>
      <c r="P60" s="14"/>
      <c r="Q60" s="14"/>
      <c r="R60" s="14"/>
      <c r="S60" s="14"/>
      <c r="T60" s="14"/>
      <c r="U60" s="14"/>
      <c r="V60" s="14"/>
      <c r="W60" s="14"/>
      <c r="X60" s="14"/>
      <c r="Y60" s="14"/>
      <c r="Z60" s="14"/>
    </row>
    <row r="61" spans="1:26" ht="30.75" customHeight="1" x14ac:dyDescent="0.2">
      <c r="A61" s="102"/>
      <c r="B61" s="102"/>
      <c r="C61" s="118" t="s">
        <v>66</v>
      </c>
      <c r="D61" s="103"/>
      <c r="E61" s="103"/>
      <c r="F61" s="103"/>
      <c r="G61" s="103"/>
      <c r="H61" s="103"/>
      <c r="I61" s="15"/>
      <c r="J61" s="14"/>
      <c r="K61" s="14"/>
      <c r="L61" s="14"/>
      <c r="M61" s="14"/>
      <c r="N61" s="14"/>
      <c r="O61" s="14"/>
      <c r="P61" s="14"/>
      <c r="Q61" s="14"/>
      <c r="R61" s="14"/>
      <c r="S61" s="14"/>
      <c r="T61" s="14"/>
      <c r="U61" s="14"/>
      <c r="V61" s="14"/>
      <c r="W61" s="14"/>
      <c r="X61" s="14"/>
      <c r="Y61" s="14"/>
      <c r="Z61" s="14"/>
    </row>
    <row r="62" spans="1:26" ht="15.75" customHeight="1" thickBot="1" x14ac:dyDescent="0.25">
      <c r="A62" s="102"/>
      <c r="B62" s="113"/>
      <c r="C62" s="119" t="s">
        <v>67</v>
      </c>
      <c r="D62" s="104"/>
      <c r="E62" s="103"/>
      <c r="F62" s="103"/>
      <c r="G62" s="103"/>
      <c r="H62" s="103"/>
      <c r="I62" s="15"/>
      <c r="J62" s="14"/>
      <c r="K62" s="14"/>
      <c r="L62" s="14"/>
      <c r="M62" s="14"/>
      <c r="N62" s="14"/>
      <c r="O62" s="14"/>
      <c r="P62" s="14"/>
      <c r="Q62" s="14"/>
      <c r="R62" s="14"/>
      <c r="S62" s="14"/>
      <c r="T62" s="14"/>
      <c r="U62" s="14"/>
      <c r="V62" s="14"/>
      <c r="W62" s="14"/>
      <c r="X62" s="14"/>
      <c r="Y62" s="14"/>
      <c r="Z62" s="14"/>
    </row>
    <row r="63" spans="1:26" ht="15.75" customHeight="1" thickBot="1" x14ac:dyDescent="0.25">
      <c r="A63" s="115"/>
      <c r="B63" s="108" t="s">
        <v>322</v>
      </c>
      <c r="C63" s="112" t="s">
        <v>68</v>
      </c>
      <c r="D63" s="117"/>
      <c r="E63" s="103"/>
      <c r="F63" s="103"/>
      <c r="G63" s="103"/>
      <c r="H63" s="103"/>
      <c r="I63" s="15"/>
      <c r="J63" s="14"/>
      <c r="K63" s="14"/>
      <c r="L63" s="14"/>
      <c r="M63" s="14"/>
      <c r="N63" s="14"/>
      <c r="O63" s="14"/>
      <c r="P63" s="14"/>
      <c r="Q63" s="14"/>
      <c r="R63" s="14"/>
      <c r="S63" s="14"/>
      <c r="T63" s="14"/>
      <c r="U63" s="14"/>
      <c r="V63" s="14"/>
      <c r="W63" s="14"/>
      <c r="X63" s="14"/>
      <c r="Y63" s="14"/>
      <c r="Z63" s="14"/>
    </row>
    <row r="64" spans="1:26" ht="30.75" customHeight="1" x14ac:dyDescent="0.2">
      <c r="A64" s="102"/>
      <c r="B64" s="102"/>
      <c r="C64" s="118" t="s">
        <v>69</v>
      </c>
      <c r="D64" s="103"/>
      <c r="E64" s="103"/>
      <c r="F64" s="103"/>
      <c r="G64" s="103"/>
      <c r="H64" s="103"/>
      <c r="I64" s="15"/>
      <c r="J64" s="14"/>
      <c r="K64" s="14"/>
      <c r="L64" s="14"/>
      <c r="M64" s="14"/>
      <c r="N64" s="14"/>
      <c r="O64" s="14"/>
      <c r="P64" s="14"/>
      <c r="Q64" s="14"/>
      <c r="R64" s="14"/>
      <c r="S64" s="14"/>
      <c r="T64" s="14"/>
      <c r="U64" s="14"/>
      <c r="V64" s="14"/>
      <c r="W64" s="14"/>
      <c r="X64" s="14"/>
      <c r="Y64" s="14"/>
      <c r="Z64" s="14"/>
    </row>
    <row r="65" spans="1:26" ht="15.75" customHeight="1" x14ac:dyDescent="0.2">
      <c r="A65" s="102"/>
      <c r="B65" s="102"/>
      <c r="C65" s="118" t="s">
        <v>70</v>
      </c>
      <c r="D65" s="103"/>
      <c r="E65" s="103"/>
      <c r="F65" s="103"/>
      <c r="G65" s="103"/>
      <c r="H65" s="103"/>
      <c r="I65" s="15"/>
      <c r="J65" s="14"/>
      <c r="K65" s="14"/>
      <c r="L65" s="14"/>
      <c r="M65" s="14"/>
      <c r="N65" s="14"/>
      <c r="O65" s="14"/>
      <c r="P65" s="14"/>
      <c r="Q65" s="14"/>
      <c r="R65" s="14"/>
      <c r="S65" s="14"/>
      <c r="T65" s="14"/>
      <c r="U65" s="14"/>
      <c r="V65" s="14"/>
      <c r="W65" s="14"/>
      <c r="X65" s="14"/>
      <c r="Y65" s="14"/>
      <c r="Z65" s="14"/>
    </row>
    <row r="66" spans="1:26" ht="15.75" customHeight="1" x14ac:dyDescent="0.2">
      <c r="A66" s="102"/>
      <c r="B66" s="102"/>
      <c r="C66" s="102"/>
      <c r="D66" s="103"/>
      <c r="E66" s="103"/>
      <c r="F66" s="103"/>
      <c r="G66" s="103"/>
      <c r="H66" s="103"/>
      <c r="I66" s="15"/>
      <c r="J66" s="14"/>
      <c r="K66" s="14"/>
      <c r="L66" s="14"/>
      <c r="M66" s="14"/>
      <c r="N66" s="14"/>
      <c r="O66" s="14"/>
      <c r="P66" s="14"/>
      <c r="Q66" s="14"/>
      <c r="R66" s="14"/>
      <c r="S66" s="14"/>
      <c r="T66" s="14"/>
      <c r="U66" s="14"/>
      <c r="V66" s="14"/>
      <c r="W66" s="14"/>
      <c r="X66" s="14"/>
      <c r="Y66" s="14"/>
      <c r="Z66" s="14"/>
    </row>
    <row r="67" spans="1:26" ht="30.75" customHeight="1" x14ac:dyDescent="0.2">
      <c r="A67" s="102"/>
      <c r="B67" s="243" t="s">
        <v>71</v>
      </c>
      <c r="C67" s="243"/>
      <c r="D67" s="243"/>
      <c r="E67" s="103"/>
      <c r="F67" s="103"/>
      <c r="G67" s="103"/>
      <c r="H67" s="103"/>
      <c r="I67" s="15"/>
      <c r="J67" s="14"/>
      <c r="K67" s="14"/>
      <c r="L67" s="14"/>
      <c r="M67" s="14"/>
      <c r="N67" s="14"/>
      <c r="O67" s="14"/>
      <c r="P67" s="14"/>
      <c r="Q67" s="14"/>
      <c r="R67" s="14"/>
      <c r="S67" s="14"/>
      <c r="T67" s="14"/>
      <c r="U67" s="14"/>
      <c r="V67" s="14"/>
      <c r="W67" s="14"/>
      <c r="X67" s="14"/>
      <c r="Y67" s="14"/>
      <c r="Z67" s="14"/>
    </row>
    <row r="68" spans="1:26" ht="15.75" customHeight="1" thickBot="1" x14ac:dyDescent="0.25">
      <c r="A68" s="102"/>
      <c r="B68" s="113"/>
      <c r="C68" s="113"/>
      <c r="D68" s="103"/>
      <c r="E68" s="103"/>
      <c r="F68" s="103"/>
      <c r="G68" s="103"/>
      <c r="H68" s="103"/>
      <c r="I68" s="15"/>
      <c r="J68" s="14"/>
      <c r="K68" s="14"/>
      <c r="L68" s="14"/>
      <c r="M68" s="14"/>
      <c r="N68" s="14"/>
      <c r="O68" s="14"/>
      <c r="P68" s="14"/>
      <c r="Q68" s="14"/>
      <c r="R68" s="14"/>
      <c r="S68" s="14"/>
      <c r="T68" s="14"/>
      <c r="U68" s="14"/>
      <c r="V68" s="14"/>
      <c r="W68" s="14"/>
      <c r="X68" s="14"/>
      <c r="Y68" s="14"/>
      <c r="Z68" s="14"/>
    </row>
    <row r="69" spans="1:26" ht="15.75" customHeight="1" thickBot="1" x14ac:dyDescent="0.25">
      <c r="A69" s="115"/>
      <c r="B69" s="108">
        <v>45</v>
      </c>
      <c r="C69" s="116" t="s">
        <v>72</v>
      </c>
      <c r="D69" s="103"/>
      <c r="E69" s="103"/>
      <c r="F69" s="103"/>
      <c r="G69" s="103"/>
      <c r="H69" s="103"/>
      <c r="I69" s="15"/>
      <c r="J69" s="14"/>
      <c r="K69" s="14"/>
      <c r="L69" s="14"/>
      <c r="M69" s="14"/>
      <c r="N69" s="14"/>
      <c r="O69" s="14"/>
      <c r="P69" s="14"/>
      <c r="Q69" s="14"/>
      <c r="R69" s="14"/>
      <c r="S69" s="14"/>
      <c r="T69" s="14"/>
      <c r="U69" s="14"/>
      <c r="V69" s="14"/>
      <c r="W69" s="14"/>
      <c r="X69" s="14"/>
      <c r="Y69" s="14"/>
      <c r="Z69" s="14"/>
    </row>
    <row r="70" spans="1:26" ht="30.75" customHeight="1" x14ac:dyDescent="0.2">
      <c r="A70" s="102"/>
      <c r="B70" s="102"/>
      <c r="C70" s="118" t="s">
        <v>73</v>
      </c>
      <c r="D70" s="103"/>
      <c r="E70" s="103"/>
      <c r="F70" s="103"/>
      <c r="G70" s="103"/>
      <c r="H70" s="103"/>
      <c r="I70" s="15"/>
      <c r="J70" s="14"/>
      <c r="K70" s="14"/>
      <c r="L70" s="14"/>
      <c r="M70" s="14"/>
      <c r="N70" s="14"/>
      <c r="O70" s="14"/>
      <c r="P70" s="14"/>
      <c r="Q70" s="14"/>
      <c r="R70" s="14"/>
      <c r="S70" s="14"/>
      <c r="T70" s="14"/>
      <c r="U70" s="14"/>
      <c r="V70" s="14"/>
      <c r="W70" s="14"/>
      <c r="X70" s="14"/>
      <c r="Y70" s="14"/>
      <c r="Z70" s="14"/>
    </row>
    <row r="71" spans="1:26" ht="15.75" customHeight="1" x14ac:dyDescent="0.2">
      <c r="A71" s="102"/>
      <c r="B71" s="102"/>
      <c r="C71" s="118" t="s">
        <v>323</v>
      </c>
      <c r="D71" s="103"/>
      <c r="E71" s="103"/>
      <c r="F71" s="103"/>
      <c r="G71" s="103"/>
      <c r="H71" s="103"/>
      <c r="I71" s="15"/>
      <c r="J71" s="14"/>
      <c r="K71" s="14"/>
      <c r="L71" s="14"/>
      <c r="M71" s="14"/>
      <c r="N71" s="14"/>
      <c r="O71" s="14"/>
      <c r="P71" s="14"/>
      <c r="Q71" s="14"/>
      <c r="R71" s="14"/>
      <c r="S71" s="14"/>
      <c r="T71" s="14"/>
      <c r="U71" s="14"/>
      <c r="V71" s="14"/>
      <c r="W71" s="14"/>
      <c r="X71" s="14"/>
      <c r="Y71" s="14"/>
      <c r="Z71" s="14"/>
    </row>
    <row r="72" spans="1:26" ht="15.75" customHeight="1" x14ac:dyDescent="0.2">
      <c r="A72" s="102"/>
      <c r="B72" s="102"/>
      <c r="C72" s="118" t="s">
        <v>74</v>
      </c>
      <c r="D72" s="103"/>
      <c r="E72" s="103"/>
      <c r="F72" s="103"/>
      <c r="G72" s="103"/>
      <c r="H72" s="103"/>
      <c r="I72" s="15"/>
      <c r="J72" s="14"/>
      <c r="K72" s="14"/>
      <c r="L72" s="14"/>
      <c r="M72" s="14"/>
      <c r="N72" s="14"/>
      <c r="O72" s="14"/>
      <c r="P72" s="14"/>
      <c r="Q72" s="14"/>
      <c r="R72" s="14"/>
      <c r="S72" s="14"/>
      <c r="T72" s="14"/>
      <c r="U72" s="14"/>
      <c r="V72" s="14"/>
      <c r="W72" s="14"/>
      <c r="X72" s="14"/>
      <c r="Y72" s="14"/>
      <c r="Z72" s="14"/>
    </row>
    <row r="73" spans="1:26" ht="15.75" customHeight="1" x14ac:dyDescent="0.2">
      <c r="A73" s="102"/>
      <c r="B73" s="102"/>
      <c r="C73" s="118" t="s">
        <v>75</v>
      </c>
      <c r="D73" s="103"/>
      <c r="E73" s="103"/>
      <c r="F73" s="103"/>
      <c r="G73" s="103"/>
      <c r="H73" s="103"/>
      <c r="I73" s="15"/>
      <c r="J73" s="14"/>
      <c r="K73" s="14"/>
      <c r="L73" s="14"/>
      <c r="M73" s="14"/>
      <c r="N73" s="14"/>
      <c r="O73" s="14"/>
      <c r="P73" s="14"/>
      <c r="Q73" s="14"/>
      <c r="R73" s="14"/>
      <c r="S73" s="14"/>
      <c r="T73" s="14"/>
      <c r="U73" s="14"/>
      <c r="V73" s="14"/>
      <c r="W73" s="14"/>
      <c r="X73" s="14"/>
      <c r="Y73" s="14"/>
      <c r="Z73" s="14"/>
    </row>
    <row r="74" spans="1:26" ht="22.5" customHeight="1" x14ac:dyDescent="0.2">
      <c r="A74" s="102"/>
      <c r="B74" s="102"/>
      <c r="C74" s="118" t="s">
        <v>76</v>
      </c>
      <c r="D74" s="103"/>
      <c r="E74" s="103"/>
      <c r="F74" s="103"/>
      <c r="G74" s="103"/>
      <c r="H74" s="103"/>
      <c r="I74" s="15"/>
      <c r="J74" s="14"/>
      <c r="K74" s="14"/>
      <c r="L74" s="14"/>
      <c r="M74" s="14"/>
      <c r="N74" s="14"/>
      <c r="O74" s="14"/>
      <c r="P74" s="14"/>
      <c r="Q74" s="14"/>
      <c r="R74" s="14"/>
      <c r="S74" s="14"/>
      <c r="T74" s="14"/>
      <c r="U74" s="14"/>
      <c r="V74" s="14"/>
      <c r="W74" s="14"/>
      <c r="X74" s="14"/>
      <c r="Y74" s="14"/>
      <c r="Z74" s="14"/>
    </row>
    <row r="75" spans="1:26" ht="15.75" customHeight="1" x14ac:dyDescent="0.2">
      <c r="A75" s="102"/>
      <c r="B75" s="102"/>
      <c r="C75" s="118" t="s">
        <v>77</v>
      </c>
      <c r="D75" s="103"/>
      <c r="E75" s="103"/>
      <c r="F75" s="103"/>
      <c r="G75" s="103"/>
      <c r="H75" s="103"/>
      <c r="I75" s="15"/>
      <c r="J75" s="14"/>
      <c r="K75" s="14"/>
      <c r="L75" s="14"/>
      <c r="M75" s="14"/>
      <c r="N75" s="14"/>
      <c r="O75" s="14"/>
      <c r="P75" s="14"/>
      <c r="Q75" s="14"/>
      <c r="R75" s="14"/>
      <c r="S75" s="14"/>
      <c r="T75" s="14"/>
      <c r="U75" s="14"/>
      <c r="V75" s="14"/>
      <c r="W75" s="14"/>
      <c r="X75" s="14"/>
      <c r="Y75" s="14"/>
      <c r="Z75" s="14"/>
    </row>
    <row r="76" spans="1:26" ht="30.75" customHeight="1" x14ac:dyDescent="0.2">
      <c r="A76" s="102"/>
      <c r="B76" s="102"/>
      <c r="C76" s="118" t="s">
        <v>78</v>
      </c>
      <c r="D76" s="103"/>
      <c r="E76" s="103"/>
      <c r="F76" s="103"/>
      <c r="G76" s="103"/>
      <c r="H76" s="103"/>
      <c r="I76" s="15"/>
      <c r="J76" s="14"/>
      <c r="K76" s="14"/>
      <c r="L76" s="14"/>
      <c r="M76" s="14"/>
      <c r="N76" s="14"/>
      <c r="O76" s="14"/>
      <c r="P76" s="14"/>
      <c r="Q76" s="14"/>
      <c r="R76" s="14"/>
      <c r="S76" s="14"/>
      <c r="T76" s="14"/>
      <c r="U76" s="14"/>
      <c r="V76" s="14"/>
      <c r="W76" s="14"/>
      <c r="X76" s="14"/>
      <c r="Y76" s="14"/>
      <c r="Z76" s="14"/>
    </row>
    <row r="77" spans="1:26" ht="15.75" customHeight="1" x14ac:dyDescent="0.2">
      <c r="A77" s="102"/>
      <c r="B77" s="102"/>
      <c r="C77" s="118" t="s">
        <v>79</v>
      </c>
      <c r="D77" s="103"/>
      <c r="E77" s="103"/>
      <c r="F77" s="103"/>
      <c r="G77" s="103"/>
      <c r="H77" s="103"/>
      <c r="I77" s="15"/>
      <c r="J77" s="14"/>
      <c r="K77" s="14"/>
      <c r="L77" s="14"/>
      <c r="M77" s="14"/>
      <c r="N77" s="14"/>
      <c r="O77" s="14"/>
      <c r="P77" s="14"/>
      <c r="Q77" s="14"/>
      <c r="R77" s="14"/>
      <c r="S77" s="14"/>
      <c r="T77" s="14"/>
      <c r="U77" s="14"/>
      <c r="V77" s="14"/>
      <c r="W77" s="14"/>
      <c r="X77" s="14"/>
      <c r="Y77" s="14"/>
      <c r="Z77" s="14"/>
    </row>
    <row r="78" spans="1:26" ht="15.75" customHeight="1" x14ac:dyDescent="0.2">
      <c r="A78" s="102"/>
      <c r="B78" s="102"/>
      <c r="C78" s="118" t="s">
        <v>80</v>
      </c>
      <c r="D78" s="103"/>
      <c r="E78" s="103"/>
      <c r="F78" s="103"/>
      <c r="G78" s="103"/>
      <c r="H78" s="103"/>
      <c r="I78" s="15"/>
      <c r="J78" s="14"/>
      <c r="K78" s="14"/>
      <c r="L78" s="14"/>
      <c r="M78" s="14"/>
      <c r="N78" s="14"/>
      <c r="O78" s="14"/>
      <c r="P78" s="14"/>
      <c r="Q78" s="14"/>
      <c r="R78" s="14"/>
      <c r="S78" s="14"/>
      <c r="T78" s="14"/>
      <c r="U78" s="14"/>
      <c r="V78" s="14"/>
      <c r="W78" s="14"/>
      <c r="X78" s="14"/>
      <c r="Y78" s="14"/>
      <c r="Z78" s="14"/>
    </row>
    <row r="79" spans="1:26" ht="15.75" customHeight="1" x14ac:dyDescent="0.2">
      <c r="A79" s="102"/>
      <c r="B79" s="102"/>
      <c r="C79" s="118" t="s">
        <v>81</v>
      </c>
      <c r="D79" s="103"/>
      <c r="E79" s="103"/>
      <c r="F79" s="103"/>
      <c r="G79" s="103"/>
      <c r="H79" s="103"/>
      <c r="I79" s="15"/>
      <c r="J79" s="14"/>
      <c r="K79" s="14"/>
      <c r="L79" s="14"/>
      <c r="M79" s="14"/>
      <c r="N79" s="14"/>
      <c r="O79" s="14"/>
      <c r="P79" s="14"/>
      <c r="Q79" s="14"/>
      <c r="R79" s="14"/>
      <c r="S79" s="14"/>
      <c r="T79" s="14"/>
      <c r="U79" s="14"/>
      <c r="V79" s="14"/>
      <c r="W79" s="14"/>
      <c r="X79" s="14"/>
      <c r="Y79" s="14"/>
      <c r="Z79" s="14"/>
    </row>
    <row r="80" spans="1:26" ht="15.75" customHeight="1" x14ac:dyDescent="0.2">
      <c r="A80" s="102"/>
      <c r="B80" s="102"/>
      <c r="C80" s="118" t="s">
        <v>82</v>
      </c>
      <c r="D80" s="103"/>
      <c r="E80" s="103"/>
      <c r="F80" s="103"/>
      <c r="G80" s="103"/>
      <c r="H80" s="103"/>
      <c r="I80" s="15"/>
      <c r="J80" s="14"/>
      <c r="K80" s="14"/>
      <c r="L80" s="14"/>
      <c r="M80" s="14"/>
      <c r="N80" s="14"/>
      <c r="O80" s="14"/>
      <c r="P80" s="14"/>
      <c r="Q80" s="14"/>
      <c r="R80" s="14"/>
      <c r="S80" s="14"/>
      <c r="T80" s="14"/>
      <c r="U80" s="14"/>
      <c r="V80" s="14"/>
      <c r="W80" s="14"/>
      <c r="X80" s="14"/>
      <c r="Y80" s="14"/>
      <c r="Z80" s="14"/>
    </row>
    <row r="81" spans="1:26" ht="15.75" customHeight="1" x14ac:dyDescent="0.2">
      <c r="A81" s="102"/>
      <c r="B81" s="102"/>
      <c r="C81" s="118" t="s">
        <v>83</v>
      </c>
      <c r="D81" s="103"/>
      <c r="E81" s="103"/>
      <c r="F81" s="103"/>
      <c r="G81" s="103"/>
      <c r="H81" s="103"/>
      <c r="I81" s="15"/>
      <c r="J81" s="14"/>
      <c r="K81" s="14"/>
      <c r="L81" s="14"/>
      <c r="M81" s="14"/>
      <c r="N81" s="14"/>
      <c r="O81" s="14"/>
      <c r="P81" s="14"/>
      <c r="Q81" s="14"/>
      <c r="R81" s="14"/>
      <c r="S81" s="14"/>
      <c r="T81" s="14"/>
      <c r="U81" s="14"/>
      <c r="V81" s="14"/>
      <c r="W81" s="14"/>
      <c r="X81" s="14"/>
      <c r="Y81" s="14"/>
      <c r="Z81" s="14"/>
    </row>
    <row r="82" spans="1:26" ht="15.75" customHeight="1" x14ac:dyDescent="0.2">
      <c r="A82" s="102"/>
      <c r="B82" s="102"/>
      <c r="C82" s="118" t="s">
        <v>84</v>
      </c>
      <c r="D82" s="103"/>
      <c r="E82" s="103"/>
      <c r="F82" s="103"/>
      <c r="G82" s="103"/>
      <c r="H82" s="103"/>
      <c r="I82" s="15"/>
      <c r="J82" s="14"/>
      <c r="K82" s="14"/>
      <c r="L82" s="14"/>
      <c r="M82" s="14"/>
      <c r="N82" s="14"/>
      <c r="O82" s="14"/>
      <c r="P82" s="14"/>
      <c r="Q82" s="14"/>
      <c r="R82" s="14"/>
      <c r="S82" s="14"/>
      <c r="T82" s="14"/>
      <c r="U82" s="14"/>
      <c r="V82" s="14"/>
      <c r="W82" s="14"/>
      <c r="X82" s="14"/>
      <c r="Y82" s="14"/>
      <c r="Z82" s="14"/>
    </row>
    <row r="83" spans="1:26" ht="15.75" customHeight="1" x14ac:dyDescent="0.2">
      <c r="A83" s="102"/>
      <c r="B83" s="102"/>
      <c r="C83" s="118" t="s">
        <v>85</v>
      </c>
      <c r="D83" s="103"/>
      <c r="E83" s="103"/>
      <c r="F83" s="103"/>
      <c r="G83" s="103"/>
      <c r="H83" s="103"/>
      <c r="I83" s="15"/>
      <c r="J83" s="14"/>
      <c r="K83" s="14"/>
      <c r="L83" s="14"/>
      <c r="M83" s="14"/>
      <c r="N83" s="14"/>
      <c r="O83" s="14"/>
      <c r="P83" s="14"/>
      <c r="Q83" s="14"/>
      <c r="R83" s="14"/>
      <c r="S83" s="14"/>
      <c r="T83" s="14"/>
      <c r="U83" s="14"/>
      <c r="V83" s="14"/>
      <c r="W83" s="14"/>
      <c r="X83" s="14"/>
      <c r="Y83" s="14"/>
      <c r="Z83" s="14"/>
    </row>
    <row r="84" spans="1:26" ht="15.75" customHeight="1" x14ac:dyDescent="0.2">
      <c r="A84" s="102"/>
      <c r="B84" s="102"/>
      <c r="C84" s="118" t="s">
        <v>86</v>
      </c>
      <c r="D84" s="103"/>
      <c r="E84" s="103"/>
      <c r="F84" s="103"/>
      <c r="G84" s="103"/>
      <c r="H84" s="103"/>
      <c r="I84" s="15"/>
      <c r="J84" s="14"/>
      <c r="K84" s="14"/>
      <c r="L84" s="14"/>
      <c r="M84" s="14"/>
      <c r="N84" s="14"/>
      <c r="O84" s="14"/>
      <c r="P84" s="14"/>
      <c r="Q84" s="14"/>
      <c r="R84" s="14"/>
      <c r="S84" s="14"/>
      <c r="T84" s="14"/>
      <c r="U84" s="14"/>
      <c r="V84" s="14"/>
      <c r="W84" s="14"/>
      <c r="X84" s="14"/>
      <c r="Y84" s="14"/>
      <c r="Z84" s="14"/>
    </row>
    <row r="85" spans="1:26" ht="15.75" customHeight="1" x14ac:dyDescent="0.2">
      <c r="A85" s="102"/>
      <c r="B85" s="102"/>
      <c r="C85" s="118" t="s">
        <v>87</v>
      </c>
      <c r="D85" s="103"/>
      <c r="E85" s="103"/>
      <c r="F85" s="103"/>
      <c r="G85" s="103"/>
      <c r="H85" s="103"/>
      <c r="I85" s="15"/>
      <c r="J85" s="14"/>
      <c r="K85" s="14"/>
      <c r="L85" s="14"/>
      <c r="M85" s="14"/>
      <c r="N85" s="14"/>
      <c r="O85" s="14"/>
      <c r="P85" s="14"/>
      <c r="Q85" s="14"/>
      <c r="R85" s="14"/>
      <c r="S85" s="14"/>
      <c r="T85" s="14"/>
      <c r="U85" s="14"/>
      <c r="V85" s="14"/>
      <c r="W85" s="14"/>
      <c r="X85" s="14"/>
      <c r="Y85" s="14"/>
      <c r="Z85" s="14"/>
    </row>
    <row r="86" spans="1:26" ht="15.75" customHeight="1" x14ac:dyDescent="0.2">
      <c r="A86" s="102"/>
      <c r="B86" s="102"/>
      <c r="C86" s="118" t="s">
        <v>88</v>
      </c>
      <c r="D86" s="103"/>
      <c r="E86" s="103"/>
      <c r="F86" s="103"/>
      <c r="G86" s="103"/>
      <c r="H86" s="103"/>
      <c r="I86" s="15"/>
      <c r="J86" s="14"/>
      <c r="K86" s="14"/>
      <c r="L86" s="14"/>
      <c r="M86" s="14"/>
      <c r="N86" s="14"/>
      <c r="O86" s="14"/>
      <c r="P86" s="14"/>
      <c r="Q86" s="14"/>
      <c r="R86" s="14"/>
      <c r="S86" s="14"/>
      <c r="T86" s="14"/>
      <c r="U86" s="14"/>
      <c r="V86" s="14"/>
      <c r="W86" s="14"/>
      <c r="X86" s="14"/>
      <c r="Y86" s="14"/>
      <c r="Z86" s="14"/>
    </row>
    <row r="87" spans="1:26" ht="15.75" customHeight="1" thickBot="1" x14ac:dyDescent="0.25">
      <c r="A87" s="102"/>
      <c r="B87" s="113"/>
      <c r="C87" s="113"/>
      <c r="D87" s="103"/>
      <c r="E87" s="103"/>
      <c r="F87" s="103"/>
      <c r="G87" s="103"/>
      <c r="H87" s="103"/>
      <c r="I87" s="15"/>
      <c r="J87" s="14"/>
      <c r="K87" s="14"/>
      <c r="L87" s="14"/>
      <c r="M87" s="14"/>
      <c r="N87" s="14"/>
      <c r="O87" s="14"/>
      <c r="P87" s="14"/>
      <c r="Q87" s="14"/>
      <c r="R87" s="14"/>
      <c r="S87" s="14"/>
      <c r="T87" s="14"/>
      <c r="U87" s="14"/>
      <c r="V87" s="14"/>
      <c r="W87" s="14"/>
      <c r="X87" s="14"/>
      <c r="Y87" s="14"/>
      <c r="Z87" s="14"/>
    </row>
    <row r="88" spans="1:26" ht="15.75" customHeight="1" thickBot="1" x14ac:dyDescent="0.25">
      <c r="A88" s="115"/>
      <c r="B88" s="108">
        <v>46</v>
      </c>
      <c r="C88" s="116" t="s">
        <v>89</v>
      </c>
      <c r="D88" s="103"/>
      <c r="E88" s="103"/>
      <c r="F88" s="103"/>
      <c r="G88" s="103"/>
      <c r="H88" s="103"/>
      <c r="I88" s="15"/>
      <c r="J88" s="14"/>
      <c r="K88" s="14"/>
      <c r="L88" s="14"/>
      <c r="M88" s="14"/>
      <c r="N88" s="14"/>
      <c r="O88" s="14"/>
      <c r="P88" s="14"/>
      <c r="Q88" s="14"/>
      <c r="R88" s="14"/>
      <c r="S88" s="14"/>
      <c r="T88" s="14"/>
      <c r="U88" s="14"/>
      <c r="V88" s="14"/>
      <c r="W88" s="14"/>
      <c r="X88" s="14"/>
      <c r="Y88" s="14"/>
      <c r="Z88" s="14"/>
    </row>
    <row r="89" spans="1:26" ht="15.75" customHeight="1" x14ac:dyDescent="0.2">
      <c r="A89" s="102"/>
      <c r="B89" s="102"/>
      <c r="C89" s="118" t="s">
        <v>90</v>
      </c>
      <c r="D89" s="103"/>
      <c r="E89" s="103"/>
      <c r="F89" s="103"/>
      <c r="G89" s="103"/>
      <c r="H89" s="103"/>
      <c r="I89" s="15"/>
      <c r="J89" s="14"/>
      <c r="K89" s="14"/>
      <c r="L89" s="14"/>
      <c r="M89" s="14"/>
      <c r="N89" s="14"/>
      <c r="O89" s="14"/>
      <c r="P89" s="14"/>
      <c r="Q89" s="14"/>
      <c r="R89" s="14"/>
      <c r="S89" s="14"/>
      <c r="T89" s="14"/>
      <c r="U89" s="14"/>
      <c r="V89" s="14"/>
      <c r="W89" s="14"/>
      <c r="X89" s="14"/>
      <c r="Y89" s="14"/>
      <c r="Z89" s="14"/>
    </row>
    <row r="90" spans="1:26" ht="15.75" customHeight="1" x14ac:dyDescent="0.2">
      <c r="A90" s="102"/>
      <c r="B90" s="102"/>
      <c r="C90" s="118" t="s">
        <v>91</v>
      </c>
      <c r="D90" s="103"/>
      <c r="E90" s="103"/>
      <c r="F90" s="103"/>
      <c r="G90" s="103"/>
      <c r="H90" s="103"/>
      <c r="I90" s="15"/>
      <c r="J90" s="14"/>
      <c r="K90" s="14"/>
      <c r="L90" s="14"/>
      <c r="M90" s="14"/>
      <c r="N90" s="14"/>
      <c r="O90" s="14"/>
      <c r="P90" s="14"/>
      <c r="Q90" s="14"/>
      <c r="R90" s="14"/>
      <c r="S90" s="14"/>
      <c r="T90" s="14"/>
      <c r="U90" s="14"/>
      <c r="V90" s="14"/>
      <c r="W90" s="14"/>
      <c r="X90" s="14"/>
      <c r="Y90" s="14"/>
      <c r="Z90" s="14"/>
    </row>
    <row r="91" spans="1:26" ht="15.75" customHeight="1" x14ac:dyDescent="0.2">
      <c r="A91" s="102"/>
      <c r="B91" s="102"/>
      <c r="C91" s="118" t="s">
        <v>92</v>
      </c>
      <c r="D91" s="103"/>
      <c r="E91" s="103"/>
      <c r="F91" s="103"/>
      <c r="G91" s="103"/>
      <c r="H91" s="103"/>
      <c r="I91" s="15"/>
      <c r="J91" s="14"/>
      <c r="K91" s="14"/>
      <c r="L91" s="14"/>
      <c r="M91" s="14"/>
      <c r="N91" s="14"/>
      <c r="O91" s="14"/>
      <c r="P91" s="14"/>
      <c r="Q91" s="14"/>
      <c r="R91" s="14"/>
      <c r="S91" s="14"/>
      <c r="T91" s="14"/>
      <c r="U91" s="14"/>
      <c r="V91" s="14"/>
      <c r="W91" s="14"/>
      <c r="X91" s="14"/>
      <c r="Y91" s="14"/>
      <c r="Z91" s="14"/>
    </row>
    <row r="92" spans="1:26" ht="15.75" customHeight="1" x14ac:dyDescent="0.2">
      <c r="A92" s="102"/>
      <c r="B92" s="102"/>
      <c r="C92" s="118" t="s">
        <v>93</v>
      </c>
      <c r="D92" s="103"/>
      <c r="E92" s="103"/>
      <c r="F92" s="103"/>
      <c r="G92" s="103"/>
      <c r="H92" s="103"/>
      <c r="I92" s="15"/>
      <c r="J92" s="14"/>
      <c r="K92" s="14"/>
      <c r="L92" s="14"/>
      <c r="M92" s="14"/>
      <c r="N92" s="14"/>
      <c r="O92" s="14"/>
      <c r="P92" s="14"/>
      <c r="Q92" s="14"/>
      <c r="R92" s="14"/>
      <c r="S92" s="14"/>
      <c r="T92" s="14"/>
      <c r="U92" s="14"/>
      <c r="V92" s="14"/>
      <c r="W92" s="14"/>
      <c r="X92" s="14"/>
      <c r="Y92" s="14"/>
      <c r="Z92" s="14"/>
    </row>
    <row r="93" spans="1:26" ht="15.75" customHeight="1" x14ac:dyDescent="0.2">
      <c r="A93" s="102"/>
      <c r="B93" s="102"/>
      <c r="C93" s="118" t="s">
        <v>77</v>
      </c>
      <c r="D93" s="103"/>
      <c r="E93" s="103"/>
      <c r="F93" s="103"/>
      <c r="G93" s="103"/>
      <c r="H93" s="103"/>
      <c r="I93" s="15"/>
      <c r="J93" s="14"/>
      <c r="K93" s="14"/>
      <c r="L93" s="14"/>
      <c r="M93" s="14"/>
      <c r="N93" s="14"/>
      <c r="O93" s="14"/>
      <c r="P93" s="14"/>
      <c r="Q93" s="14"/>
      <c r="R93" s="14"/>
      <c r="S93" s="14"/>
      <c r="T93" s="14"/>
      <c r="U93" s="14"/>
      <c r="V93" s="14"/>
      <c r="W93" s="14"/>
      <c r="X93" s="14"/>
      <c r="Y93" s="14"/>
      <c r="Z93" s="14"/>
    </row>
    <row r="94" spans="1:26" ht="15.75" customHeight="1" x14ac:dyDescent="0.2">
      <c r="A94" s="102"/>
      <c r="B94" s="102"/>
      <c r="C94" s="118" t="s">
        <v>94</v>
      </c>
      <c r="D94" s="103"/>
      <c r="E94" s="103"/>
      <c r="F94" s="103"/>
      <c r="G94" s="103"/>
      <c r="H94" s="103"/>
      <c r="I94" s="15"/>
      <c r="J94" s="14"/>
      <c r="K94" s="14"/>
      <c r="L94" s="14"/>
      <c r="M94" s="14"/>
      <c r="N94" s="14"/>
      <c r="O94" s="14"/>
      <c r="P94" s="14"/>
      <c r="Q94" s="14"/>
      <c r="R94" s="14"/>
      <c r="S94" s="14"/>
      <c r="T94" s="14"/>
      <c r="U94" s="14"/>
      <c r="V94" s="14"/>
      <c r="W94" s="14"/>
      <c r="X94" s="14"/>
      <c r="Y94" s="14"/>
      <c r="Z94" s="14"/>
    </row>
    <row r="95" spans="1:26" ht="30.75" customHeight="1" x14ac:dyDescent="0.2">
      <c r="A95" s="102"/>
      <c r="B95" s="102"/>
      <c r="C95" s="118" t="s">
        <v>95</v>
      </c>
      <c r="D95" s="103"/>
      <c r="E95" s="103"/>
      <c r="F95" s="103"/>
      <c r="G95" s="103"/>
      <c r="H95" s="103"/>
      <c r="I95" s="15"/>
      <c r="J95" s="14"/>
      <c r="K95" s="14"/>
      <c r="L95" s="14"/>
      <c r="M95" s="14"/>
      <c r="N95" s="14"/>
      <c r="O95" s="14"/>
      <c r="P95" s="14"/>
      <c r="Q95" s="14"/>
      <c r="R95" s="14"/>
      <c r="S95" s="14"/>
      <c r="T95" s="14"/>
      <c r="U95" s="14"/>
      <c r="V95" s="14"/>
      <c r="W95" s="14"/>
      <c r="X95" s="14"/>
      <c r="Y95" s="14"/>
      <c r="Z95" s="14"/>
    </row>
    <row r="96" spans="1:26" ht="15.75" customHeight="1" x14ac:dyDescent="0.2">
      <c r="A96" s="102"/>
      <c r="B96" s="102"/>
      <c r="C96" s="118" t="s">
        <v>96</v>
      </c>
      <c r="D96" s="103"/>
      <c r="E96" s="103"/>
      <c r="F96" s="103"/>
      <c r="G96" s="103"/>
      <c r="H96" s="103"/>
      <c r="I96" s="15"/>
      <c r="J96" s="14"/>
      <c r="K96" s="14"/>
      <c r="L96" s="14"/>
      <c r="M96" s="14"/>
      <c r="N96" s="14"/>
      <c r="O96" s="14"/>
      <c r="P96" s="14"/>
      <c r="Q96" s="14"/>
      <c r="R96" s="14"/>
      <c r="S96" s="14"/>
      <c r="T96" s="14"/>
      <c r="U96" s="14"/>
      <c r="V96" s="14"/>
      <c r="W96" s="14"/>
      <c r="X96" s="14"/>
      <c r="Y96" s="14"/>
      <c r="Z96" s="14"/>
    </row>
    <row r="97" spans="1:26" ht="15.75" customHeight="1" x14ac:dyDescent="0.2">
      <c r="A97" s="102"/>
      <c r="B97" s="102"/>
      <c r="C97" s="118" t="s">
        <v>97</v>
      </c>
      <c r="D97" s="103"/>
      <c r="E97" s="103"/>
      <c r="F97" s="103"/>
      <c r="G97" s="103"/>
      <c r="H97" s="103"/>
      <c r="I97" s="15"/>
      <c r="J97" s="14"/>
      <c r="K97" s="14"/>
      <c r="L97" s="14"/>
      <c r="M97" s="14"/>
      <c r="N97" s="14"/>
      <c r="O97" s="14"/>
      <c r="P97" s="14"/>
      <c r="Q97" s="14"/>
      <c r="R97" s="14"/>
      <c r="S97" s="14"/>
      <c r="T97" s="14"/>
      <c r="U97" s="14"/>
      <c r="V97" s="14"/>
      <c r="W97" s="14"/>
      <c r="X97" s="14"/>
      <c r="Y97" s="14"/>
      <c r="Z97" s="14"/>
    </row>
    <row r="98" spans="1:26" ht="15.75" customHeight="1" thickBot="1" x14ac:dyDescent="0.25">
      <c r="A98" s="102"/>
      <c r="B98" s="113"/>
      <c r="C98" s="113"/>
      <c r="D98" s="103"/>
      <c r="E98" s="103"/>
      <c r="F98" s="103"/>
      <c r="G98" s="103"/>
      <c r="H98" s="103"/>
      <c r="I98" s="15"/>
      <c r="J98" s="14"/>
      <c r="K98" s="14"/>
      <c r="L98" s="14"/>
      <c r="M98" s="14"/>
      <c r="N98" s="14"/>
      <c r="O98" s="14"/>
      <c r="P98" s="14"/>
      <c r="Q98" s="14"/>
      <c r="R98" s="14"/>
      <c r="S98" s="14"/>
      <c r="T98" s="14"/>
      <c r="U98" s="14"/>
      <c r="V98" s="14"/>
      <c r="W98" s="14"/>
      <c r="X98" s="14"/>
      <c r="Y98" s="14"/>
      <c r="Z98" s="14"/>
    </row>
    <row r="99" spans="1:26" ht="15.75" customHeight="1" thickBot="1" x14ac:dyDescent="0.25">
      <c r="A99" s="115"/>
      <c r="B99" s="108">
        <v>47</v>
      </c>
      <c r="C99" s="116" t="s">
        <v>98</v>
      </c>
      <c r="D99" s="103"/>
      <c r="E99" s="103"/>
      <c r="F99" s="103"/>
      <c r="G99" s="103"/>
      <c r="H99" s="103"/>
      <c r="I99" s="15"/>
      <c r="J99" s="14"/>
      <c r="K99" s="14"/>
      <c r="L99" s="14"/>
      <c r="M99" s="14"/>
      <c r="N99" s="14"/>
      <c r="O99" s="14"/>
      <c r="P99" s="14"/>
      <c r="Q99" s="14"/>
      <c r="R99" s="14"/>
      <c r="S99" s="14"/>
      <c r="T99" s="14"/>
      <c r="U99" s="14"/>
      <c r="V99" s="14"/>
      <c r="W99" s="14"/>
      <c r="X99" s="14"/>
      <c r="Y99" s="14"/>
      <c r="Z99" s="14"/>
    </row>
    <row r="100" spans="1:26" ht="15.75" customHeight="1" x14ac:dyDescent="0.2">
      <c r="A100" s="102"/>
      <c r="B100" s="102"/>
      <c r="C100" s="118" t="s">
        <v>99</v>
      </c>
      <c r="D100" s="103"/>
      <c r="E100" s="103"/>
      <c r="F100" s="103"/>
      <c r="G100" s="103"/>
      <c r="H100" s="103"/>
      <c r="I100" s="15"/>
      <c r="J100" s="14"/>
      <c r="K100" s="14"/>
      <c r="L100" s="14"/>
      <c r="M100" s="14"/>
      <c r="N100" s="14"/>
      <c r="O100" s="14"/>
      <c r="P100" s="14"/>
      <c r="Q100" s="14"/>
      <c r="R100" s="14"/>
      <c r="S100" s="14"/>
      <c r="T100" s="14"/>
      <c r="U100" s="14"/>
      <c r="V100" s="14"/>
      <c r="W100" s="14"/>
      <c r="X100" s="14"/>
      <c r="Y100" s="14"/>
      <c r="Z100" s="14"/>
    </row>
    <row r="101" spans="1:26" ht="15.75" customHeight="1" x14ac:dyDescent="0.2">
      <c r="A101" s="102"/>
      <c r="B101" s="102"/>
      <c r="C101" s="118" t="s">
        <v>91</v>
      </c>
      <c r="D101" s="103"/>
      <c r="E101" s="103"/>
      <c r="F101" s="103"/>
      <c r="G101" s="103"/>
      <c r="H101" s="103"/>
      <c r="I101" s="15"/>
      <c r="J101" s="14"/>
      <c r="K101" s="14"/>
      <c r="L101" s="14"/>
      <c r="M101" s="14"/>
      <c r="N101" s="14"/>
      <c r="O101" s="14"/>
      <c r="P101" s="14"/>
      <c r="Q101" s="14"/>
      <c r="R101" s="14"/>
      <c r="S101" s="14"/>
      <c r="T101" s="14"/>
      <c r="U101" s="14"/>
      <c r="V101" s="14"/>
      <c r="W101" s="14"/>
      <c r="X101" s="14"/>
      <c r="Y101" s="14"/>
      <c r="Z101" s="14"/>
    </row>
    <row r="102" spans="1:26" ht="15.75" customHeight="1" x14ac:dyDescent="0.2">
      <c r="A102" s="102"/>
      <c r="B102" s="102"/>
      <c r="C102" s="118" t="s">
        <v>100</v>
      </c>
      <c r="D102" s="103"/>
      <c r="E102" s="103"/>
      <c r="F102" s="103"/>
      <c r="G102" s="103"/>
      <c r="H102" s="103"/>
      <c r="I102" s="15"/>
      <c r="J102" s="14"/>
      <c r="K102" s="14"/>
      <c r="L102" s="14"/>
      <c r="M102" s="14"/>
      <c r="N102" s="14"/>
      <c r="O102" s="14"/>
      <c r="P102" s="14"/>
      <c r="Q102" s="14"/>
      <c r="R102" s="14"/>
      <c r="S102" s="14"/>
      <c r="T102" s="14"/>
      <c r="U102" s="14"/>
      <c r="V102" s="14"/>
      <c r="W102" s="14"/>
      <c r="X102" s="14"/>
      <c r="Y102" s="14"/>
      <c r="Z102" s="14"/>
    </row>
    <row r="103" spans="1:26" ht="15.75" customHeight="1" x14ac:dyDescent="0.2">
      <c r="A103" s="102"/>
      <c r="B103" s="102"/>
      <c r="C103" s="118" t="s">
        <v>92</v>
      </c>
      <c r="D103" s="103"/>
      <c r="E103" s="103"/>
      <c r="F103" s="103"/>
      <c r="G103" s="103"/>
      <c r="H103" s="103"/>
      <c r="I103" s="15"/>
      <c r="J103" s="14"/>
      <c r="K103" s="14"/>
      <c r="L103" s="14"/>
      <c r="M103" s="14"/>
      <c r="N103" s="14"/>
      <c r="O103" s="14"/>
      <c r="P103" s="14"/>
      <c r="Q103" s="14"/>
      <c r="R103" s="14"/>
      <c r="S103" s="14"/>
      <c r="T103" s="14"/>
      <c r="U103" s="14"/>
      <c r="V103" s="14"/>
      <c r="W103" s="14"/>
      <c r="X103" s="14"/>
      <c r="Y103" s="14"/>
      <c r="Z103" s="14"/>
    </row>
    <row r="104" spans="1:26" ht="15.75" customHeight="1" x14ac:dyDescent="0.2">
      <c r="A104" s="102"/>
      <c r="B104" s="102"/>
      <c r="C104" s="118" t="s">
        <v>78</v>
      </c>
      <c r="D104" s="103"/>
      <c r="E104" s="103"/>
      <c r="F104" s="103"/>
      <c r="G104" s="103"/>
      <c r="H104" s="103"/>
      <c r="I104" s="15"/>
      <c r="J104" s="14"/>
      <c r="K104" s="14"/>
      <c r="L104" s="14"/>
      <c r="M104" s="14"/>
      <c r="N104" s="14"/>
      <c r="O104" s="14"/>
      <c r="P104" s="14"/>
      <c r="Q104" s="14"/>
      <c r="R104" s="14"/>
      <c r="S104" s="14"/>
      <c r="T104" s="14"/>
      <c r="U104" s="14"/>
      <c r="V104" s="14"/>
      <c r="W104" s="14"/>
      <c r="X104" s="14"/>
      <c r="Y104" s="14"/>
      <c r="Z104" s="14"/>
    </row>
    <row r="105" spans="1:26" ht="15.75" customHeight="1" x14ac:dyDescent="0.2">
      <c r="A105" s="102"/>
      <c r="B105" s="102"/>
      <c r="C105" s="118" t="s">
        <v>93</v>
      </c>
      <c r="D105" s="103"/>
      <c r="E105" s="103"/>
      <c r="F105" s="103"/>
      <c r="G105" s="103"/>
      <c r="H105" s="103"/>
      <c r="I105" s="15"/>
      <c r="J105" s="14"/>
      <c r="K105" s="14"/>
      <c r="L105" s="14"/>
      <c r="M105" s="14"/>
      <c r="N105" s="14"/>
      <c r="O105" s="14"/>
      <c r="P105" s="14"/>
      <c r="Q105" s="14"/>
      <c r="R105" s="14"/>
      <c r="S105" s="14"/>
      <c r="T105" s="14"/>
      <c r="U105" s="14"/>
      <c r="V105" s="14"/>
      <c r="W105" s="14"/>
      <c r="X105" s="14"/>
      <c r="Y105" s="14"/>
      <c r="Z105" s="14"/>
    </row>
    <row r="106" spans="1:26" ht="30.75" customHeight="1" x14ac:dyDescent="0.2">
      <c r="A106" s="102"/>
      <c r="B106" s="102"/>
      <c r="C106" s="118" t="s">
        <v>77</v>
      </c>
      <c r="D106" s="103"/>
      <c r="E106" s="103"/>
      <c r="F106" s="103"/>
      <c r="G106" s="103"/>
      <c r="H106" s="103"/>
      <c r="I106" s="15"/>
      <c r="J106" s="14"/>
      <c r="K106" s="14"/>
      <c r="L106" s="14"/>
      <c r="M106" s="14"/>
      <c r="N106" s="14"/>
      <c r="O106" s="14"/>
      <c r="P106" s="14"/>
      <c r="Q106" s="14"/>
      <c r="R106" s="14"/>
      <c r="S106" s="14"/>
      <c r="T106" s="14"/>
      <c r="U106" s="14"/>
      <c r="V106" s="14"/>
      <c r="W106" s="14"/>
      <c r="X106" s="14"/>
      <c r="Y106" s="14"/>
      <c r="Z106" s="14"/>
    </row>
    <row r="107" spans="1:26" ht="15.75" customHeight="1" x14ac:dyDescent="0.2">
      <c r="A107" s="102"/>
      <c r="B107" s="102"/>
      <c r="C107" s="118" t="s">
        <v>101</v>
      </c>
      <c r="D107" s="103"/>
      <c r="E107" s="103"/>
      <c r="F107" s="103"/>
      <c r="G107" s="103"/>
      <c r="H107" s="103"/>
      <c r="I107" s="15"/>
      <c r="J107" s="14"/>
      <c r="K107" s="14"/>
      <c r="L107" s="14"/>
      <c r="M107" s="14"/>
      <c r="N107" s="14"/>
      <c r="O107" s="14"/>
      <c r="P107" s="14"/>
      <c r="Q107" s="14"/>
      <c r="R107" s="14"/>
      <c r="S107" s="14"/>
      <c r="T107" s="14"/>
      <c r="U107" s="14"/>
      <c r="V107" s="14"/>
      <c r="W107" s="14"/>
      <c r="X107" s="14"/>
      <c r="Y107" s="14"/>
      <c r="Z107" s="14"/>
    </row>
    <row r="108" spans="1:26" ht="15.75" customHeight="1" x14ac:dyDescent="0.2">
      <c r="A108" s="102"/>
      <c r="B108" s="102"/>
      <c r="C108" s="118" t="s">
        <v>95</v>
      </c>
      <c r="D108" s="103"/>
      <c r="E108" s="103"/>
      <c r="F108" s="103"/>
      <c r="G108" s="103"/>
      <c r="H108" s="103"/>
      <c r="I108" s="15"/>
      <c r="J108" s="14"/>
      <c r="K108" s="14"/>
      <c r="L108" s="14"/>
      <c r="M108" s="14"/>
      <c r="N108" s="14"/>
      <c r="O108" s="14"/>
      <c r="P108" s="14"/>
      <c r="Q108" s="14"/>
      <c r="R108" s="14"/>
      <c r="S108" s="14"/>
      <c r="T108" s="14"/>
      <c r="U108" s="14"/>
      <c r="V108" s="14"/>
      <c r="W108" s="14"/>
      <c r="X108" s="14"/>
      <c r="Y108" s="14"/>
      <c r="Z108" s="14"/>
    </row>
    <row r="109" spans="1:26" ht="15.75" customHeight="1" x14ac:dyDescent="0.2">
      <c r="A109" s="102"/>
      <c r="B109" s="102"/>
      <c r="C109" s="118" t="s">
        <v>102</v>
      </c>
      <c r="D109" s="103"/>
      <c r="E109" s="103"/>
      <c r="F109" s="103"/>
      <c r="G109" s="103"/>
      <c r="H109" s="103"/>
      <c r="I109" s="15"/>
      <c r="J109" s="14"/>
      <c r="K109" s="14"/>
      <c r="L109" s="14"/>
      <c r="M109" s="14"/>
      <c r="N109" s="14"/>
      <c r="O109" s="14"/>
      <c r="P109" s="14"/>
      <c r="Q109" s="14"/>
      <c r="R109" s="14"/>
      <c r="S109" s="14"/>
      <c r="T109" s="14"/>
      <c r="U109" s="14"/>
      <c r="V109" s="14"/>
      <c r="W109" s="14"/>
      <c r="X109" s="14"/>
      <c r="Y109" s="14"/>
      <c r="Z109" s="14"/>
    </row>
    <row r="110" spans="1:26" ht="15.75" customHeight="1" x14ac:dyDescent="0.2">
      <c r="A110" s="102"/>
      <c r="B110" s="102"/>
      <c r="C110" s="118" t="s">
        <v>97</v>
      </c>
      <c r="D110" s="103"/>
      <c r="E110" s="103"/>
      <c r="F110" s="103"/>
      <c r="G110" s="103"/>
      <c r="H110" s="103"/>
      <c r="I110" s="15"/>
      <c r="J110" s="14"/>
      <c r="K110" s="14"/>
      <c r="L110" s="14"/>
      <c r="M110" s="14"/>
      <c r="N110" s="14"/>
      <c r="O110" s="14"/>
      <c r="P110" s="14"/>
      <c r="Q110" s="14"/>
      <c r="R110" s="14"/>
      <c r="S110" s="14"/>
      <c r="T110" s="14"/>
      <c r="U110" s="14"/>
      <c r="V110" s="14"/>
      <c r="W110" s="14"/>
      <c r="X110" s="14"/>
      <c r="Y110" s="14"/>
      <c r="Z110" s="14"/>
    </row>
    <row r="111" spans="1:26" ht="15.75" customHeight="1" x14ac:dyDescent="0.2">
      <c r="A111" s="102"/>
      <c r="B111" s="102"/>
      <c r="C111" s="118" t="s">
        <v>103</v>
      </c>
      <c r="D111" s="103"/>
      <c r="E111" s="103"/>
      <c r="F111" s="103"/>
      <c r="G111" s="103"/>
      <c r="H111" s="103"/>
      <c r="I111" s="15"/>
      <c r="J111" s="14"/>
      <c r="K111" s="14"/>
      <c r="L111" s="14"/>
      <c r="M111" s="14"/>
      <c r="N111" s="14"/>
      <c r="O111" s="14"/>
      <c r="P111" s="14"/>
      <c r="Q111" s="14"/>
      <c r="R111" s="14"/>
      <c r="S111" s="14"/>
      <c r="T111" s="14"/>
      <c r="U111" s="14"/>
      <c r="V111" s="14"/>
      <c r="W111" s="14"/>
      <c r="X111" s="14"/>
      <c r="Y111" s="14"/>
      <c r="Z111" s="14"/>
    </row>
    <row r="112" spans="1:26" ht="15.75" customHeight="1" x14ac:dyDescent="0.2">
      <c r="A112" s="102"/>
      <c r="B112" s="102"/>
      <c r="C112" s="102"/>
      <c r="D112" s="103"/>
      <c r="E112" s="103"/>
      <c r="F112" s="103"/>
      <c r="G112" s="103"/>
      <c r="H112" s="103"/>
      <c r="I112" s="15"/>
      <c r="J112" s="14"/>
      <c r="K112" s="14"/>
      <c r="L112" s="14"/>
      <c r="M112" s="14"/>
      <c r="N112" s="14"/>
      <c r="O112" s="14"/>
      <c r="P112" s="14"/>
      <c r="Q112" s="14"/>
      <c r="R112" s="14"/>
      <c r="S112" s="14"/>
      <c r="T112" s="14"/>
      <c r="U112" s="14"/>
      <c r="V112" s="14"/>
      <c r="W112" s="14"/>
      <c r="X112" s="14"/>
      <c r="Y112" s="14"/>
      <c r="Z112" s="14"/>
    </row>
    <row r="113" spans="1:26" ht="15.75" customHeight="1" x14ac:dyDescent="0.2">
      <c r="A113" s="243" t="s">
        <v>104</v>
      </c>
      <c r="B113" s="243"/>
      <c r="C113" s="243"/>
      <c r="D113" s="103"/>
      <c r="E113" s="103"/>
      <c r="F113" s="103"/>
      <c r="G113" s="103"/>
      <c r="H113" s="103"/>
      <c r="I113" s="15"/>
      <c r="J113" s="14"/>
      <c r="K113" s="14"/>
      <c r="L113" s="14"/>
      <c r="M113" s="14"/>
      <c r="N113" s="14"/>
      <c r="O113" s="14"/>
      <c r="P113" s="14"/>
      <c r="Q113" s="14"/>
      <c r="R113" s="14"/>
      <c r="S113" s="14"/>
      <c r="T113" s="14"/>
      <c r="U113" s="14"/>
      <c r="V113" s="14"/>
      <c r="W113" s="14"/>
      <c r="X113" s="14"/>
      <c r="Y113" s="14"/>
      <c r="Z113" s="14"/>
    </row>
    <row r="114" spans="1:26" ht="15.75" customHeight="1" thickBot="1" x14ac:dyDescent="0.25">
      <c r="A114" s="115"/>
      <c r="B114" s="108">
        <v>48</v>
      </c>
      <c r="C114" s="112" t="s">
        <v>105</v>
      </c>
      <c r="D114" s="103"/>
      <c r="E114" s="103"/>
      <c r="F114" s="103"/>
      <c r="G114" s="103"/>
      <c r="H114" s="103"/>
      <c r="I114" s="15"/>
      <c r="J114" s="14"/>
      <c r="K114" s="14"/>
      <c r="L114" s="14"/>
      <c r="M114" s="14"/>
      <c r="N114" s="14"/>
      <c r="O114" s="14"/>
      <c r="P114" s="14"/>
      <c r="Q114" s="14"/>
      <c r="R114" s="14"/>
      <c r="S114" s="14"/>
      <c r="T114" s="14"/>
      <c r="U114" s="14"/>
      <c r="V114" s="14"/>
      <c r="W114" s="14"/>
      <c r="X114" s="14"/>
      <c r="Y114" s="14"/>
      <c r="Z114" s="14"/>
    </row>
    <row r="115" spans="1:26" ht="15.75" customHeight="1" thickBot="1" x14ac:dyDescent="0.25">
      <c r="A115" s="102"/>
      <c r="B115" s="120"/>
      <c r="C115" s="121" t="s">
        <v>106</v>
      </c>
      <c r="D115" s="103"/>
      <c r="E115" s="103"/>
      <c r="F115" s="103"/>
      <c r="G115" s="103"/>
      <c r="H115" s="103"/>
      <c r="I115" s="15"/>
      <c r="J115" s="14"/>
      <c r="K115" s="14"/>
      <c r="L115" s="14"/>
      <c r="M115" s="14"/>
      <c r="N115" s="14"/>
      <c r="O115" s="14"/>
      <c r="P115" s="14"/>
      <c r="Q115" s="14"/>
      <c r="R115" s="14"/>
      <c r="S115" s="14"/>
      <c r="T115" s="14"/>
      <c r="U115" s="14"/>
      <c r="V115" s="14"/>
      <c r="W115" s="14"/>
      <c r="X115" s="14"/>
      <c r="Y115" s="14"/>
      <c r="Z115" s="14"/>
    </row>
    <row r="116" spans="1:26" ht="15.75" customHeight="1" thickBot="1" x14ac:dyDescent="0.25">
      <c r="A116" s="103"/>
      <c r="B116" s="117"/>
      <c r="C116" s="117"/>
      <c r="D116" s="103"/>
      <c r="E116" s="103"/>
      <c r="F116" s="103"/>
      <c r="G116" s="103"/>
      <c r="H116" s="103"/>
      <c r="I116" s="15"/>
      <c r="J116" s="14"/>
      <c r="K116" s="14"/>
      <c r="L116" s="14"/>
      <c r="M116" s="14"/>
      <c r="N116" s="14"/>
      <c r="O116" s="14"/>
      <c r="P116" s="14"/>
      <c r="Q116" s="14"/>
      <c r="R116" s="14"/>
      <c r="S116" s="14"/>
      <c r="T116" s="14"/>
      <c r="U116" s="14"/>
      <c r="V116" s="14"/>
      <c r="W116" s="14"/>
      <c r="X116" s="14"/>
      <c r="Y116" s="14"/>
      <c r="Z116" s="14"/>
    </row>
    <row r="117" spans="1:26" ht="15.75" customHeight="1" thickBot="1" x14ac:dyDescent="0.25">
      <c r="A117" s="115"/>
      <c r="B117" s="108">
        <v>49</v>
      </c>
      <c r="C117" s="112" t="s">
        <v>107</v>
      </c>
      <c r="D117" s="103"/>
      <c r="E117" s="103"/>
      <c r="F117" s="103"/>
      <c r="G117" s="103"/>
      <c r="H117" s="103"/>
      <c r="I117" s="15"/>
      <c r="J117" s="14"/>
      <c r="K117" s="14"/>
      <c r="L117" s="14"/>
      <c r="M117" s="14"/>
      <c r="N117" s="14"/>
      <c r="O117" s="14"/>
      <c r="P117" s="14"/>
      <c r="Q117" s="14"/>
      <c r="R117" s="14"/>
      <c r="S117" s="14"/>
      <c r="T117" s="14"/>
      <c r="U117" s="14"/>
      <c r="V117" s="14"/>
      <c r="W117" s="14"/>
      <c r="X117" s="14"/>
      <c r="Y117" s="14"/>
      <c r="Z117" s="14"/>
    </row>
    <row r="118" spans="1:26" ht="15.75" customHeight="1" thickBot="1" x14ac:dyDescent="0.25">
      <c r="A118" s="102"/>
      <c r="B118" s="120"/>
      <c r="C118" s="121" t="s">
        <v>106</v>
      </c>
      <c r="D118" s="103"/>
      <c r="E118" s="103"/>
      <c r="F118" s="103"/>
      <c r="G118" s="103"/>
      <c r="H118" s="103"/>
      <c r="I118" s="15"/>
      <c r="J118" s="14"/>
      <c r="K118" s="14"/>
      <c r="L118" s="14"/>
      <c r="M118" s="14"/>
      <c r="N118" s="14"/>
      <c r="O118" s="14"/>
      <c r="P118" s="14"/>
      <c r="Q118" s="14"/>
      <c r="R118" s="14"/>
      <c r="S118" s="14"/>
      <c r="T118" s="14"/>
      <c r="U118" s="14"/>
      <c r="V118" s="14"/>
      <c r="W118" s="14"/>
      <c r="X118" s="14"/>
      <c r="Y118" s="14"/>
      <c r="Z118" s="14"/>
    </row>
    <row r="119" spans="1:26" ht="15.75" customHeight="1" thickBot="1" x14ac:dyDescent="0.25">
      <c r="A119" s="103"/>
      <c r="B119" s="117"/>
      <c r="C119" s="117"/>
      <c r="D119" s="103"/>
      <c r="E119" s="103"/>
      <c r="F119" s="103"/>
      <c r="G119" s="103"/>
      <c r="H119" s="103"/>
      <c r="I119" s="15"/>
      <c r="J119" s="14"/>
      <c r="K119" s="14"/>
      <c r="L119" s="14"/>
      <c r="M119" s="14"/>
      <c r="N119" s="14"/>
      <c r="O119" s="14"/>
      <c r="P119" s="14"/>
      <c r="Q119" s="14"/>
      <c r="R119" s="14"/>
      <c r="S119" s="14"/>
      <c r="T119" s="14"/>
      <c r="U119" s="14"/>
      <c r="V119" s="14"/>
      <c r="W119" s="14"/>
      <c r="X119" s="14"/>
      <c r="Y119" s="14"/>
      <c r="Z119" s="14"/>
    </row>
    <row r="120" spans="1:26" ht="40.5" customHeight="1" thickBot="1" x14ac:dyDescent="0.25">
      <c r="A120" s="115"/>
      <c r="B120" s="108">
        <v>50</v>
      </c>
      <c r="C120" s="112" t="s">
        <v>108</v>
      </c>
      <c r="D120" s="103"/>
      <c r="E120" s="103"/>
      <c r="F120" s="103"/>
      <c r="G120" s="103"/>
      <c r="H120" s="103"/>
      <c r="I120" s="5"/>
    </row>
    <row r="121" spans="1:26" ht="30.75" customHeight="1" thickBot="1" x14ac:dyDescent="0.25">
      <c r="A121" s="102"/>
      <c r="B121" s="120"/>
      <c r="C121" s="121" t="s">
        <v>106</v>
      </c>
      <c r="D121" s="103"/>
      <c r="E121" s="103"/>
      <c r="F121" s="103"/>
      <c r="G121" s="103"/>
      <c r="H121" s="103"/>
      <c r="I121" s="15"/>
      <c r="J121" s="14"/>
      <c r="K121" s="14"/>
      <c r="L121" s="14"/>
      <c r="M121" s="14"/>
      <c r="N121" s="14"/>
      <c r="O121" s="14"/>
      <c r="P121" s="14"/>
      <c r="Q121" s="14"/>
      <c r="R121" s="14"/>
      <c r="S121" s="14"/>
      <c r="T121" s="14"/>
      <c r="U121" s="14"/>
      <c r="V121" s="14"/>
      <c r="W121" s="14"/>
      <c r="X121" s="14"/>
      <c r="Y121" s="14"/>
      <c r="Z121" s="14"/>
    </row>
    <row r="122" spans="1:26" ht="15.75" customHeight="1" thickBot="1" x14ac:dyDescent="0.25">
      <c r="A122" s="102"/>
      <c r="B122" s="115"/>
      <c r="C122" s="111"/>
      <c r="D122" s="103"/>
      <c r="E122" s="103"/>
      <c r="F122" s="103"/>
      <c r="G122" s="103"/>
      <c r="H122" s="103"/>
      <c r="I122" s="15"/>
      <c r="J122" s="14"/>
      <c r="K122" s="14"/>
      <c r="L122" s="14"/>
      <c r="M122" s="14"/>
      <c r="N122" s="14"/>
      <c r="O122" s="14"/>
      <c r="P122" s="14"/>
      <c r="Q122" s="14"/>
      <c r="R122" s="14"/>
      <c r="S122" s="14"/>
      <c r="T122" s="14"/>
      <c r="U122" s="14"/>
      <c r="V122" s="14"/>
      <c r="W122" s="14"/>
      <c r="X122" s="14"/>
      <c r="Y122" s="14"/>
      <c r="Z122" s="14"/>
    </row>
    <row r="123" spans="1:26" ht="100.5" customHeight="1" x14ac:dyDescent="0.2">
      <c r="A123" s="102"/>
      <c r="B123" s="102"/>
      <c r="C123" s="102"/>
      <c r="D123" s="103"/>
      <c r="E123" s="103"/>
      <c r="F123" s="103"/>
      <c r="G123" s="103"/>
      <c r="H123" s="103"/>
      <c r="I123" s="7"/>
      <c r="J123" s="8"/>
      <c r="K123" s="8"/>
      <c r="L123" s="8"/>
      <c r="M123" s="8"/>
      <c r="N123" s="8"/>
      <c r="O123" s="8"/>
      <c r="P123" s="8"/>
      <c r="Q123" s="8"/>
      <c r="R123" s="8"/>
      <c r="S123" s="8"/>
      <c r="T123" s="8"/>
      <c r="U123" s="8"/>
      <c r="V123" s="8"/>
      <c r="W123" s="8"/>
      <c r="X123" s="8"/>
      <c r="Y123" s="8"/>
      <c r="Z123" s="8"/>
    </row>
    <row r="124" spans="1:26" ht="30.75" customHeight="1" x14ac:dyDescent="0.2">
      <c r="A124" s="102"/>
      <c r="B124" s="102"/>
      <c r="C124" s="102"/>
      <c r="D124" s="103"/>
      <c r="E124" s="103"/>
      <c r="F124" s="103"/>
      <c r="G124" s="103"/>
      <c r="H124" s="103"/>
      <c r="I124" s="15"/>
      <c r="J124" s="14"/>
      <c r="K124" s="14"/>
      <c r="L124" s="14"/>
      <c r="M124" s="14"/>
      <c r="N124" s="14"/>
      <c r="O124" s="14"/>
      <c r="P124" s="14"/>
      <c r="Q124" s="14"/>
      <c r="R124" s="14"/>
      <c r="S124" s="14"/>
      <c r="T124" s="14"/>
      <c r="U124" s="14"/>
      <c r="V124" s="14"/>
      <c r="W124" s="14"/>
      <c r="X124" s="14"/>
      <c r="Y124" s="14"/>
      <c r="Z124" s="14"/>
    </row>
    <row r="125" spans="1:26" ht="15.75" customHeight="1" x14ac:dyDescent="0.2">
      <c r="A125" s="102"/>
      <c r="B125" s="102"/>
      <c r="C125" s="102"/>
      <c r="D125" s="103"/>
      <c r="E125" s="103"/>
      <c r="F125" s="103"/>
      <c r="G125" s="103"/>
      <c r="H125" s="103"/>
      <c r="I125" s="15"/>
      <c r="J125" s="14"/>
      <c r="K125" s="14"/>
      <c r="L125" s="14"/>
      <c r="M125" s="14"/>
      <c r="N125" s="14"/>
      <c r="O125" s="14"/>
      <c r="P125" s="14"/>
      <c r="Q125" s="14"/>
      <c r="R125" s="14"/>
      <c r="S125" s="14"/>
      <c r="T125" s="14"/>
      <c r="U125" s="14"/>
      <c r="V125" s="14"/>
      <c r="W125" s="14"/>
      <c r="X125" s="14"/>
      <c r="Y125" s="14"/>
      <c r="Z125" s="14"/>
    </row>
    <row r="126" spans="1:26" ht="100.5" customHeight="1" x14ac:dyDescent="0.2">
      <c r="A126" s="102"/>
      <c r="B126" s="102"/>
      <c r="C126" s="102"/>
      <c r="D126" s="103"/>
      <c r="E126" s="103"/>
      <c r="F126" s="103"/>
      <c r="G126" s="103"/>
      <c r="H126" s="103"/>
      <c r="I126" s="7"/>
      <c r="J126" s="8"/>
      <c r="K126" s="8"/>
      <c r="L126" s="8"/>
      <c r="M126" s="8"/>
      <c r="N126" s="8"/>
      <c r="O126" s="8"/>
      <c r="P126" s="8"/>
      <c r="Q126" s="8"/>
      <c r="R126" s="8"/>
      <c r="S126" s="8"/>
      <c r="T126" s="8"/>
      <c r="U126" s="8"/>
      <c r="V126" s="8"/>
      <c r="W126" s="8"/>
      <c r="X126" s="8"/>
      <c r="Y126" s="8"/>
      <c r="Z126" s="8"/>
    </row>
    <row r="127" spans="1:26" ht="30.75" customHeight="1" x14ac:dyDescent="0.2">
      <c r="A127" s="102"/>
      <c r="B127" s="102"/>
      <c r="C127" s="102"/>
      <c r="D127" s="103"/>
      <c r="E127" s="103"/>
      <c r="F127" s="103"/>
      <c r="G127" s="103"/>
      <c r="H127" s="103"/>
      <c r="I127" s="15"/>
      <c r="J127" s="14"/>
      <c r="K127" s="14"/>
      <c r="L127" s="14"/>
      <c r="M127" s="14"/>
      <c r="N127" s="14"/>
      <c r="O127" s="14"/>
      <c r="P127" s="14"/>
      <c r="Q127" s="14"/>
      <c r="R127" s="14"/>
      <c r="S127" s="14"/>
      <c r="T127" s="14"/>
      <c r="U127" s="14"/>
      <c r="V127" s="14"/>
      <c r="W127" s="14"/>
      <c r="X127" s="14"/>
      <c r="Y127" s="14"/>
      <c r="Z127" s="14"/>
    </row>
    <row r="128" spans="1:26" ht="15.75" customHeight="1" x14ac:dyDescent="0.2">
      <c r="A128" s="102"/>
      <c r="B128" s="102"/>
      <c r="C128" s="102"/>
      <c r="D128" s="103"/>
      <c r="E128" s="103"/>
      <c r="F128" s="103"/>
      <c r="G128" s="103"/>
      <c r="H128" s="103"/>
      <c r="I128" s="15"/>
      <c r="J128" s="14"/>
      <c r="K128" s="14"/>
      <c r="L128" s="14"/>
      <c r="M128" s="14"/>
      <c r="N128" s="14"/>
      <c r="O128" s="14"/>
      <c r="P128" s="14"/>
      <c r="Q128" s="14"/>
      <c r="R128" s="14"/>
      <c r="S128" s="14"/>
      <c r="T128" s="14"/>
      <c r="U128" s="14"/>
      <c r="V128" s="14"/>
      <c r="W128" s="14"/>
      <c r="X128" s="14"/>
      <c r="Y128" s="14"/>
      <c r="Z128" s="14"/>
    </row>
    <row r="129" spans="1:9" ht="101.25" customHeight="1" x14ac:dyDescent="0.2">
      <c r="A129" s="102"/>
      <c r="B129" s="102"/>
      <c r="C129" s="102"/>
      <c r="D129" s="103"/>
      <c r="E129" s="103"/>
      <c r="F129" s="103"/>
      <c r="G129" s="103"/>
      <c r="H129" s="103"/>
      <c r="I129" s="5"/>
    </row>
    <row r="130" spans="1:9" ht="15.75" customHeight="1" x14ac:dyDescent="0.2">
      <c r="A130" s="102"/>
      <c r="B130" s="102"/>
      <c r="C130" s="102"/>
      <c r="D130" s="103"/>
      <c r="E130" s="103"/>
      <c r="F130" s="103"/>
      <c r="G130" s="103"/>
      <c r="H130" s="103"/>
      <c r="I130" s="5"/>
    </row>
    <row r="131" spans="1:9" ht="15.75" customHeight="1" x14ac:dyDescent="0.2">
      <c r="A131" s="102"/>
      <c r="B131" s="102"/>
      <c r="C131" s="102"/>
      <c r="D131" s="103"/>
      <c r="E131" s="103"/>
      <c r="F131" s="103"/>
      <c r="G131" s="103"/>
      <c r="H131" s="103"/>
      <c r="I131" s="5"/>
    </row>
    <row r="132" spans="1:9" ht="15.75" customHeight="1" x14ac:dyDescent="0.2">
      <c r="A132" s="102"/>
      <c r="B132" s="102"/>
      <c r="C132" s="102"/>
      <c r="D132" s="103"/>
      <c r="E132" s="103"/>
      <c r="F132" s="103"/>
      <c r="G132" s="103"/>
      <c r="H132" s="103"/>
      <c r="I132" s="5"/>
    </row>
    <row r="133" spans="1:9" ht="15.75" customHeight="1" x14ac:dyDescent="0.2">
      <c r="A133" s="102"/>
      <c r="B133" s="102"/>
      <c r="C133" s="102"/>
      <c r="D133" s="103"/>
      <c r="E133" s="103"/>
      <c r="F133" s="103"/>
      <c r="G133" s="103"/>
      <c r="H133" s="103"/>
      <c r="I133" s="5"/>
    </row>
    <row r="134" spans="1:9" ht="15.75" customHeight="1" x14ac:dyDescent="0.2">
      <c r="A134" s="102"/>
      <c r="B134" s="102"/>
      <c r="C134" s="102"/>
      <c r="D134" s="103"/>
      <c r="E134" s="103"/>
      <c r="F134" s="103"/>
      <c r="G134" s="103"/>
      <c r="H134" s="103"/>
      <c r="I134" s="5"/>
    </row>
    <row r="135" spans="1:9" ht="15.75" customHeight="1" x14ac:dyDescent="0.2">
      <c r="A135" s="102"/>
      <c r="B135" s="102"/>
      <c r="C135" s="102"/>
      <c r="D135" s="103"/>
      <c r="E135" s="103"/>
      <c r="F135" s="103"/>
      <c r="G135" s="103"/>
      <c r="H135" s="103"/>
      <c r="I135" s="5"/>
    </row>
    <row r="136" spans="1:9" ht="15.75" customHeight="1" x14ac:dyDescent="0.2">
      <c r="A136" s="102"/>
      <c r="B136" s="102"/>
      <c r="C136" s="102"/>
      <c r="D136" s="103"/>
      <c r="E136" s="103"/>
      <c r="F136" s="103"/>
      <c r="G136" s="103"/>
      <c r="H136" s="103"/>
      <c r="I136" s="5"/>
    </row>
    <row r="137" spans="1:9" ht="15.75" customHeight="1" x14ac:dyDescent="0.2">
      <c r="A137" s="102"/>
      <c r="B137" s="102"/>
      <c r="C137" s="102"/>
      <c r="D137" s="103"/>
      <c r="E137" s="103"/>
      <c r="F137" s="103"/>
      <c r="G137" s="103"/>
      <c r="H137" s="103"/>
      <c r="I137" s="5"/>
    </row>
    <row r="138" spans="1:9" ht="15.75" customHeight="1" x14ac:dyDescent="0.2">
      <c r="A138" s="102"/>
      <c r="B138" s="102"/>
      <c r="C138" s="102"/>
      <c r="D138" s="103"/>
      <c r="E138" s="103"/>
      <c r="F138" s="103"/>
      <c r="G138" s="103"/>
      <c r="H138" s="103"/>
      <c r="I138" s="5"/>
    </row>
    <row r="139" spans="1:9" ht="15.75" customHeight="1" x14ac:dyDescent="0.2">
      <c r="A139" s="102"/>
      <c r="B139" s="102"/>
      <c r="C139" s="102"/>
      <c r="D139" s="103"/>
      <c r="E139" s="103"/>
      <c r="F139" s="103"/>
      <c r="G139" s="103"/>
      <c r="H139" s="103"/>
      <c r="I139" s="5"/>
    </row>
    <row r="140" spans="1:9" ht="15.75" customHeight="1" x14ac:dyDescent="0.2">
      <c r="A140" s="102"/>
      <c r="B140" s="102"/>
      <c r="C140" s="102"/>
      <c r="D140" s="103"/>
      <c r="E140" s="103"/>
      <c r="F140" s="103"/>
      <c r="G140" s="103"/>
      <c r="H140" s="103"/>
      <c r="I140" s="5"/>
    </row>
    <row r="141" spans="1:9" ht="15.75" customHeight="1" x14ac:dyDescent="0.2">
      <c r="A141" s="102"/>
      <c r="B141" s="102"/>
      <c r="C141" s="102"/>
      <c r="D141" s="103"/>
      <c r="E141" s="103"/>
      <c r="F141" s="103"/>
      <c r="G141" s="103"/>
      <c r="H141" s="103"/>
      <c r="I141" s="5"/>
    </row>
    <row r="142" spans="1:9" ht="15.75" customHeight="1" x14ac:dyDescent="0.2">
      <c r="A142" s="102"/>
      <c r="B142" s="102"/>
      <c r="C142" s="102"/>
      <c r="D142" s="103"/>
      <c r="E142" s="103"/>
      <c r="F142" s="103"/>
      <c r="G142" s="103"/>
      <c r="H142" s="103"/>
      <c r="I142" s="5"/>
    </row>
    <row r="143" spans="1:9" ht="15.75" customHeight="1" x14ac:dyDescent="0.2">
      <c r="A143" s="102"/>
      <c r="B143" s="102"/>
      <c r="C143" s="102"/>
      <c r="D143" s="103"/>
      <c r="E143" s="103"/>
      <c r="F143" s="103"/>
      <c r="G143" s="103"/>
      <c r="H143" s="103"/>
      <c r="I143" s="5"/>
    </row>
    <row r="144" spans="1:9" ht="15.75" customHeight="1" x14ac:dyDescent="0.2">
      <c r="A144" s="102"/>
      <c r="B144" s="102"/>
      <c r="C144" s="102"/>
      <c r="D144" s="103"/>
      <c r="E144" s="103"/>
      <c r="F144" s="103"/>
      <c r="G144" s="103"/>
      <c r="H144" s="103"/>
      <c r="I144" s="5"/>
    </row>
    <row r="145" spans="1:9" ht="15.75" customHeight="1" x14ac:dyDescent="0.2">
      <c r="A145" s="102"/>
      <c r="B145" s="102"/>
      <c r="C145" s="102"/>
      <c r="D145" s="103"/>
      <c r="E145" s="103"/>
      <c r="F145" s="103"/>
      <c r="G145" s="103"/>
      <c r="H145" s="103"/>
      <c r="I145" s="5"/>
    </row>
    <row r="146" spans="1:9" ht="15.75" customHeight="1" x14ac:dyDescent="0.2">
      <c r="A146" s="102"/>
      <c r="B146" s="102"/>
      <c r="C146" s="102"/>
      <c r="D146" s="103"/>
      <c r="E146" s="103"/>
      <c r="F146" s="103"/>
      <c r="G146" s="103"/>
      <c r="H146" s="103"/>
      <c r="I146" s="5"/>
    </row>
    <row r="147" spans="1:9" ht="15.75" customHeight="1" x14ac:dyDescent="0.2">
      <c r="A147" s="102"/>
      <c r="B147" s="102"/>
      <c r="C147" s="102"/>
      <c r="D147" s="103"/>
      <c r="E147" s="103"/>
      <c r="F147" s="103"/>
      <c r="G147" s="103"/>
      <c r="H147" s="103"/>
      <c r="I147" s="5"/>
    </row>
    <row r="148" spans="1:9" ht="15.75" customHeight="1" x14ac:dyDescent="0.2">
      <c r="A148" s="102"/>
      <c r="B148" s="102"/>
      <c r="C148" s="102"/>
      <c r="D148" s="103"/>
      <c r="E148" s="103"/>
      <c r="F148" s="103"/>
      <c r="G148" s="103"/>
      <c r="H148" s="103"/>
      <c r="I148" s="5"/>
    </row>
    <row r="149" spans="1:9" ht="15.75" customHeight="1" x14ac:dyDescent="0.2">
      <c r="A149" s="102"/>
      <c r="B149" s="102"/>
      <c r="C149" s="102"/>
      <c r="D149" s="103"/>
      <c r="E149" s="103"/>
      <c r="F149" s="103"/>
      <c r="G149" s="103"/>
      <c r="H149" s="103"/>
      <c r="I149" s="5"/>
    </row>
    <row r="150" spans="1:9" ht="15.75" customHeight="1" x14ac:dyDescent="0.2">
      <c r="A150" s="102"/>
      <c r="B150" s="102"/>
      <c r="C150" s="102"/>
      <c r="D150" s="103"/>
      <c r="E150" s="103"/>
      <c r="F150" s="103"/>
      <c r="G150" s="103"/>
      <c r="H150" s="103"/>
      <c r="I150" s="5"/>
    </row>
    <row r="151" spans="1:9" ht="15.75" customHeight="1" x14ac:dyDescent="0.2">
      <c r="A151" s="102"/>
      <c r="B151" s="102"/>
      <c r="C151" s="102"/>
      <c r="D151" s="103"/>
      <c r="E151" s="103"/>
      <c r="F151" s="103"/>
      <c r="G151" s="103"/>
      <c r="H151" s="103"/>
      <c r="I151" s="5"/>
    </row>
    <row r="152" spans="1:9" ht="15.75" customHeight="1" x14ac:dyDescent="0.2">
      <c r="A152" s="102"/>
      <c r="B152" s="102"/>
      <c r="C152" s="102"/>
      <c r="D152" s="103"/>
      <c r="E152" s="103"/>
      <c r="F152" s="103"/>
      <c r="G152" s="103"/>
      <c r="H152" s="103"/>
      <c r="I152" s="5"/>
    </row>
    <row r="153" spans="1:9" ht="15.75" customHeight="1" x14ac:dyDescent="0.2">
      <c r="A153" s="102"/>
      <c r="B153" s="102"/>
      <c r="C153" s="102"/>
      <c r="D153" s="103"/>
      <c r="E153" s="103"/>
      <c r="F153" s="103"/>
      <c r="G153" s="103"/>
      <c r="H153" s="103"/>
      <c r="I153" s="5"/>
    </row>
    <row r="154" spans="1:9" ht="15.75" customHeight="1" x14ac:dyDescent="0.2">
      <c r="A154" s="102"/>
      <c r="B154" s="102"/>
      <c r="C154" s="102"/>
      <c r="D154" s="103"/>
      <c r="E154" s="103"/>
      <c r="F154" s="103"/>
      <c r="G154" s="103"/>
      <c r="H154" s="103"/>
      <c r="I154" s="5"/>
    </row>
    <row r="155" spans="1:9" ht="15.75" customHeight="1" x14ac:dyDescent="0.2">
      <c r="A155" s="102"/>
      <c r="B155" s="102"/>
      <c r="C155" s="102"/>
      <c r="D155" s="103"/>
      <c r="E155" s="103"/>
      <c r="F155" s="103"/>
      <c r="G155" s="103"/>
      <c r="H155" s="103"/>
      <c r="I155" s="5"/>
    </row>
    <row r="156" spans="1:9" ht="15.75" customHeight="1" x14ac:dyDescent="0.2">
      <c r="A156" s="102"/>
      <c r="B156" s="102"/>
      <c r="C156" s="102"/>
      <c r="D156" s="103"/>
      <c r="E156" s="103"/>
      <c r="F156" s="103"/>
      <c r="G156" s="103"/>
      <c r="H156" s="103"/>
      <c r="I156" s="5"/>
    </row>
    <row r="157" spans="1:9" ht="15.75" customHeight="1" x14ac:dyDescent="0.2">
      <c r="A157" s="102"/>
      <c r="B157" s="102"/>
      <c r="C157" s="102"/>
      <c r="D157" s="103"/>
      <c r="E157" s="103"/>
      <c r="F157" s="103"/>
      <c r="G157" s="103"/>
      <c r="H157" s="103"/>
      <c r="I157" s="5"/>
    </row>
    <row r="158" spans="1:9" ht="15.75" customHeight="1" x14ac:dyDescent="0.2">
      <c r="A158" s="102"/>
      <c r="B158" s="102"/>
      <c r="C158" s="102"/>
      <c r="D158" s="103"/>
      <c r="E158" s="103"/>
      <c r="F158" s="103"/>
      <c r="G158" s="103"/>
      <c r="H158" s="103"/>
      <c r="I158" s="5"/>
    </row>
    <row r="159" spans="1:9" ht="15.75" customHeight="1" x14ac:dyDescent="0.2">
      <c r="A159" s="102"/>
      <c r="B159" s="102"/>
      <c r="C159" s="102"/>
      <c r="D159" s="103"/>
      <c r="E159" s="103"/>
      <c r="F159" s="103"/>
      <c r="G159" s="103"/>
      <c r="H159" s="103"/>
      <c r="I159" s="5"/>
    </row>
    <row r="160" spans="1:9" ht="15.75" customHeight="1" x14ac:dyDescent="0.2">
      <c r="A160" s="102"/>
      <c r="B160" s="102"/>
      <c r="C160" s="102"/>
      <c r="D160" s="103"/>
      <c r="E160" s="103"/>
      <c r="F160" s="103"/>
      <c r="G160" s="103"/>
      <c r="H160" s="103"/>
      <c r="I160" s="5"/>
    </row>
    <row r="161" spans="1:9" ht="15.75" customHeight="1" x14ac:dyDescent="0.2">
      <c r="A161" s="102"/>
      <c r="B161" s="102"/>
      <c r="C161" s="102"/>
      <c r="D161" s="103"/>
      <c r="E161" s="103"/>
      <c r="F161" s="103"/>
      <c r="G161" s="103"/>
      <c r="H161" s="103"/>
      <c r="I161" s="5"/>
    </row>
    <row r="162" spans="1:9" ht="15.75" customHeight="1" x14ac:dyDescent="0.2">
      <c r="A162" s="102"/>
      <c r="B162" s="102"/>
      <c r="C162" s="102"/>
      <c r="D162" s="103"/>
      <c r="E162" s="103"/>
      <c r="F162" s="103"/>
      <c r="G162" s="103"/>
      <c r="H162" s="103"/>
      <c r="I162" s="5"/>
    </row>
    <row r="163" spans="1:9" ht="15.75" customHeight="1" x14ac:dyDescent="0.2">
      <c r="A163" s="102"/>
      <c r="B163" s="102"/>
      <c r="C163" s="102"/>
      <c r="D163" s="103"/>
      <c r="E163" s="103"/>
      <c r="F163" s="103"/>
      <c r="G163" s="103"/>
      <c r="H163" s="103"/>
      <c r="I163" s="5"/>
    </row>
    <row r="164" spans="1:9" ht="15.75" customHeight="1" x14ac:dyDescent="0.2">
      <c r="A164" s="102"/>
      <c r="B164" s="102"/>
      <c r="C164" s="102"/>
      <c r="D164" s="103"/>
      <c r="E164" s="103"/>
      <c r="F164" s="103"/>
      <c r="G164" s="103"/>
      <c r="H164" s="103"/>
      <c r="I164" s="5"/>
    </row>
    <row r="165" spans="1:9" ht="15.75" customHeight="1" x14ac:dyDescent="0.2">
      <c r="A165" s="102"/>
      <c r="B165" s="102"/>
      <c r="C165" s="102"/>
      <c r="D165" s="103"/>
      <c r="E165" s="103"/>
      <c r="F165" s="103"/>
      <c r="G165" s="103"/>
      <c r="H165" s="103"/>
      <c r="I165" s="5"/>
    </row>
    <row r="166" spans="1:9" ht="15.75" customHeight="1" x14ac:dyDescent="0.2">
      <c r="A166" s="102"/>
      <c r="B166" s="102"/>
      <c r="C166" s="102"/>
      <c r="D166" s="103"/>
      <c r="E166" s="103"/>
      <c r="F166" s="103"/>
      <c r="G166" s="103"/>
      <c r="H166" s="103"/>
      <c r="I166" s="5"/>
    </row>
    <row r="167" spans="1:9" ht="15.75" customHeight="1" x14ac:dyDescent="0.2">
      <c r="A167" s="102"/>
      <c r="B167" s="102"/>
      <c r="C167" s="102"/>
      <c r="D167" s="103"/>
      <c r="E167" s="103"/>
      <c r="F167" s="103"/>
      <c r="G167" s="103"/>
      <c r="H167" s="103"/>
      <c r="I167" s="5"/>
    </row>
    <row r="168" spans="1:9" ht="15.75" customHeight="1" x14ac:dyDescent="0.2">
      <c r="A168" s="102"/>
      <c r="B168" s="102"/>
      <c r="C168" s="102"/>
      <c r="D168" s="103"/>
      <c r="E168" s="103"/>
      <c r="F168" s="103"/>
      <c r="G168" s="103"/>
      <c r="H168" s="103"/>
      <c r="I168" s="5"/>
    </row>
    <row r="169" spans="1:9" ht="15.75" customHeight="1" x14ac:dyDescent="0.2">
      <c r="A169" s="102"/>
      <c r="B169" s="102"/>
      <c r="C169" s="102"/>
      <c r="D169" s="103"/>
      <c r="E169" s="103"/>
      <c r="F169" s="103"/>
      <c r="G169" s="103"/>
      <c r="H169" s="103"/>
      <c r="I169" s="5"/>
    </row>
    <row r="170" spans="1:9" ht="15.75" customHeight="1" x14ac:dyDescent="0.2">
      <c r="A170" s="102"/>
      <c r="B170" s="102"/>
      <c r="C170" s="102"/>
      <c r="D170" s="103"/>
      <c r="E170" s="103"/>
      <c r="F170" s="103"/>
      <c r="G170" s="103"/>
      <c r="H170" s="103"/>
      <c r="I170" s="5"/>
    </row>
    <row r="171" spans="1:9" ht="15.75" customHeight="1" x14ac:dyDescent="0.2">
      <c r="A171" s="102"/>
      <c r="B171" s="102"/>
      <c r="C171" s="102"/>
      <c r="D171" s="103"/>
      <c r="E171" s="103"/>
      <c r="F171" s="103"/>
      <c r="G171" s="103"/>
      <c r="H171" s="103"/>
      <c r="I171" s="5"/>
    </row>
    <row r="172" spans="1:9" ht="15.75" customHeight="1" x14ac:dyDescent="0.2">
      <c r="A172" s="102"/>
      <c r="B172" s="102"/>
      <c r="C172" s="102"/>
      <c r="D172" s="103"/>
      <c r="E172" s="103"/>
      <c r="F172" s="103"/>
      <c r="G172" s="103"/>
      <c r="H172" s="103"/>
      <c r="I172" s="5"/>
    </row>
    <row r="173" spans="1:9" ht="15.75" customHeight="1" x14ac:dyDescent="0.2">
      <c r="A173" s="102"/>
      <c r="B173" s="102"/>
      <c r="C173" s="102"/>
      <c r="D173" s="103"/>
      <c r="E173" s="103"/>
      <c r="F173" s="103"/>
      <c r="G173" s="103"/>
      <c r="H173" s="103"/>
      <c r="I173" s="5"/>
    </row>
    <row r="174" spans="1:9" ht="15.75" customHeight="1" x14ac:dyDescent="0.2">
      <c r="A174" s="102"/>
      <c r="B174" s="102"/>
      <c r="C174" s="102"/>
      <c r="D174" s="103"/>
      <c r="E174" s="103"/>
      <c r="F174" s="103"/>
      <c r="G174" s="103"/>
      <c r="H174" s="103"/>
      <c r="I174" s="5"/>
    </row>
    <row r="175" spans="1:9" ht="15.75" customHeight="1" x14ac:dyDescent="0.2">
      <c r="A175" s="102"/>
      <c r="B175" s="102"/>
      <c r="C175" s="102"/>
      <c r="D175" s="103"/>
      <c r="E175" s="103"/>
      <c r="F175" s="103"/>
      <c r="G175" s="103"/>
      <c r="H175" s="103"/>
      <c r="I175" s="5"/>
    </row>
    <row r="176" spans="1:9" ht="15.75" customHeight="1" x14ac:dyDescent="0.2">
      <c r="A176" s="102"/>
      <c r="B176" s="102"/>
      <c r="C176" s="102"/>
      <c r="D176" s="103"/>
      <c r="E176" s="103"/>
      <c r="F176" s="103"/>
      <c r="G176" s="103"/>
      <c r="H176" s="103"/>
      <c r="I176" s="5"/>
    </row>
    <row r="177" spans="1:9" ht="15.75" customHeight="1" x14ac:dyDescent="0.2">
      <c r="A177" s="102"/>
      <c r="B177" s="102"/>
      <c r="C177" s="102"/>
      <c r="D177" s="103"/>
      <c r="E177" s="103"/>
      <c r="F177" s="103"/>
      <c r="G177" s="103"/>
      <c r="H177" s="103"/>
      <c r="I177" s="5"/>
    </row>
    <row r="178" spans="1:9" ht="15.75" customHeight="1" x14ac:dyDescent="0.2">
      <c r="A178" s="102"/>
      <c r="B178" s="102"/>
      <c r="C178" s="102"/>
      <c r="D178" s="103"/>
      <c r="E178" s="103"/>
      <c r="F178" s="103"/>
      <c r="G178" s="103"/>
      <c r="H178" s="103"/>
      <c r="I178" s="5"/>
    </row>
    <row r="179" spans="1:9" ht="15.75" customHeight="1" x14ac:dyDescent="0.2">
      <c r="A179" s="102"/>
      <c r="B179" s="102"/>
      <c r="C179" s="102"/>
      <c r="D179" s="103"/>
      <c r="E179" s="103"/>
      <c r="F179" s="103"/>
      <c r="G179" s="103"/>
      <c r="H179" s="103"/>
      <c r="I179" s="5"/>
    </row>
    <row r="180" spans="1:9" ht="15.75" customHeight="1" x14ac:dyDescent="0.2">
      <c r="A180" s="102"/>
      <c r="B180" s="102"/>
      <c r="C180" s="102"/>
      <c r="D180" s="103"/>
      <c r="E180" s="103"/>
      <c r="F180" s="103"/>
      <c r="G180" s="103"/>
      <c r="H180" s="103"/>
      <c r="I180" s="5"/>
    </row>
    <row r="181" spans="1:9" ht="15.75" customHeight="1" x14ac:dyDescent="0.2">
      <c r="A181" s="102"/>
      <c r="B181" s="102"/>
      <c r="C181" s="102"/>
      <c r="D181" s="103"/>
      <c r="E181" s="103"/>
      <c r="F181" s="103"/>
      <c r="G181" s="103"/>
      <c r="H181" s="103"/>
      <c r="I181" s="5"/>
    </row>
    <row r="182" spans="1:9" ht="15.75" customHeight="1" x14ac:dyDescent="0.2">
      <c r="A182" s="102"/>
      <c r="B182" s="102"/>
      <c r="C182" s="102"/>
      <c r="D182" s="103"/>
      <c r="E182" s="103"/>
      <c r="F182" s="103"/>
      <c r="G182" s="103"/>
      <c r="H182" s="103"/>
      <c r="I182" s="5"/>
    </row>
    <row r="183" spans="1:9" ht="15.75" customHeight="1" x14ac:dyDescent="0.2">
      <c r="A183" s="102"/>
      <c r="B183" s="102"/>
      <c r="C183" s="102"/>
      <c r="D183" s="103"/>
      <c r="E183" s="103"/>
      <c r="F183" s="103"/>
      <c r="G183" s="103"/>
      <c r="H183" s="103"/>
      <c r="I183" s="5"/>
    </row>
    <row r="184" spans="1:9" ht="15.75" customHeight="1" x14ac:dyDescent="0.2">
      <c r="A184" s="102"/>
      <c r="B184" s="102"/>
      <c r="C184" s="102"/>
      <c r="D184" s="103"/>
      <c r="E184" s="103"/>
      <c r="F184" s="103"/>
      <c r="G184" s="103"/>
      <c r="H184" s="103"/>
      <c r="I184" s="5"/>
    </row>
    <row r="185" spans="1:9" ht="15.75" customHeight="1" x14ac:dyDescent="0.2">
      <c r="A185" s="102"/>
      <c r="B185" s="102"/>
      <c r="C185" s="102"/>
      <c r="D185" s="103"/>
      <c r="E185" s="103"/>
      <c r="F185" s="103"/>
      <c r="G185" s="103"/>
      <c r="H185" s="103"/>
      <c r="I185" s="5"/>
    </row>
    <row r="186" spans="1:9" ht="15.75" customHeight="1" x14ac:dyDescent="0.2">
      <c r="A186" s="102"/>
      <c r="B186" s="102"/>
      <c r="C186" s="102"/>
      <c r="D186" s="103"/>
      <c r="E186" s="103"/>
      <c r="F186" s="103"/>
      <c r="G186" s="103"/>
      <c r="H186" s="103"/>
      <c r="I186" s="5"/>
    </row>
    <row r="187" spans="1:9" ht="15.75" customHeight="1" x14ac:dyDescent="0.2">
      <c r="A187" s="102"/>
      <c r="B187" s="102"/>
      <c r="C187" s="102"/>
      <c r="D187" s="103"/>
      <c r="E187" s="103"/>
      <c r="F187" s="103"/>
      <c r="G187" s="103"/>
      <c r="H187" s="103"/>
      <c r="I187" s="5"/>
    </row>
    <row r="188" spans="1:9" ht="15.75" customHeight="1" x14ac:dyDescent="0.2">
      <c r="A188" s="102"/>
      <c r="B188" s="102"/>
      <c r="C188" s="102"/>
      <c r="D188" s="103"/>
      <c r="E188" s="103"/>
      <c r="F188" s="103"/>
      <c r="G188" s="103"/>
      <c r="H188" s="103"/>
      <c r="I188" s="5"/>
    </row>
    <row r="189" spans="1:9" ht="15.75" customHeight="1" x14ac:dyDescent="0.2">
      <c r="A189" s="102"/>
      <c r="B189" s="102"/>
      <c r="C189" s="102"/>
      <c r="D189" s="103"/>
      <c r="E189" s="103"/>
      <c r="F189" s="103"/>
      <c r="G189" s="103"/>
      <c r="H189" s="103"/>
      <c r="I189" s="5"/>
    </row>
    <row r="190" spans="1:9" ht="15.75" customHeight="1" x14ac:dyDescent="0.2">
      <c r="A190" s="102"/>
      <c r="B190" s="102"/>
      <c r="C190" s="102"/>
      <c r="D190" s="103"/>
      <c r="E190" s="103"/>
      <c r="F190" s="103"/>
      <c r="G190" s="103"/>
      <c r="H190" s="103"/>
      <c r="I190" s="5"/>
    </row>
    <row r="191" spans="1:9" ht="15.75" customHeight="1" x14ac:dyDescent="0.2">
      <c r="A191" s="102"/>
      <c r="B191" s="102"/>
      <c r="C191" s="102"/>
      <c r="D191" s="103"/>
      <c r="E191" s="103"/>
      <c r="F191" s="103"/>
      <c r="G191" s="103"/>
      <c r="H191" s="103"/>
      <c r="I191" s="5"/>
    </row>
    <row r="192" spans="1:9" ht="15.75" customHeight="1" x14ac:dyDescent="0.2">
      <c r="A192" s="102"/>
      <c r="B192" s="102"/>
      <c r="C192" s="102"/>
      <c r="D192" s="103"/>
      <c r="E192" s="103"/>
      <c r="F192" s="103"/>
      <c r="G192" s="103"/>
      <c r="H192" s="103"/>
      <c r="I192" s="5"/>
    </row>
    <row r="193" spans="1:9" ht="15.75" customHeight="1" x14ac:dyDescent="0.2">
      <c r="A193" s="102"/>
      <c r="B193" s="102"/>
      <c r="C193" s="102"/>
      <c r="D193" s="103"/>
      <c r="E193" s="103"/>
      <c r="F193" s="103"/>
      <c r="G193" s="103"/>
      <c r="H193" s="103"/>
      <c r="I193" s="5"/>
    </row>
    <row r="194" spans="1:9" ht="15.75" customHeight="1" x14ac:dyDescent="0.2">
      <c r="A194" s="102"/>
      <c r="B194" s="102"/>
      <c r="C194" s="102"/>
      <c r="D194" s="103"/>
      <c r="E194" s="103"/>
      <c r="F194" s="103"/>
      <c r="G194" s="103"/>
      <c r="H194" s="103"/>
      <c r="I194" s="5"/>
    </row>
    <row r="195" spans="1:9" ht="15.75" customHeight="1" x14ac:dyDescent="0.2">
      <c r="A195" s="102"/>
      <c r="B195" s="102"/>
      <c r="C195" s="102"/>
      <c r="D195" s="103"/>
      <c r="E195" s="103"/>
      <c r="F195" s="103"/>
      <c r="G195" s="103"/>
      <c r="H195" s="103"/>
      <c r="I195" s="5"/>
    </row>
    <row r="196" spans="1:9" ht="15.75" customHeight="1" x14ac:dyDescent="0.2">
      <c r="A196" s="102"/>
      <c r="B196" s="102"/>
      <c r="C196" s="102"/>
      <c r="D196" s="103"/>
      <c r="E196" s="103"/>
      <c r="F196" s="103"/>
      <c r="G196" s="103"/>
      <c r="H196" s="103"/>
      <c r="I196" s="5"/>
    </row>
    <row r="197" spans="1:9" ht="15.75" customHeight="1" x14ac:dyDescent="0.2">
      <c r="A197" s="102"/>
      <c r="B197" s="102"/>
      <c r="C197" s="102"/>
      <c r="D197" s="103"/>
      <c r="E197" s="103"/>
      <c r="F197" s="103"/>
      <c r="G197" s="103"/>
      <c r="H197" s="103"/>
      <c r="I197" s="5"/>
    </row>
    <row r="198" spans="1:9" ht="15.75" customHeight="1" x14ac:dyDescent="0.2">
      <c r="A198" s="102"/>
      <c r="B198" s="102"/>
      <c r="C198" s="102"/>
      <c r="D198" s="103"/>
      <c r="E198" s="103"/>
      <c r="F198" s="103"/>
      <c r="G198" s="103"/>
      <c r="H198" s="103"/>
      <c r="I198" s="5"/>
    </row>
    <row r="199" spans="1:9" ht="15.75" customHeight="1" x14ac:dyDescent="0.2">
      <c r="A199" s="102"/>
      <c r="B199" s="102"/>
      <c r="C199" s="102"/>
      <c r="D199" s="103"/>
      <c r="E199" s="103"/>
      <c r="F199" s="103"/>
      <c r="G199" s="103"/>
      <c r="H199" s="103"/>
      <c r="I199" s="5"/>
    </row>
    <row r="200" spans="1:9" ht="15.75" customHeight="1" x14ac:dyDescent="0.2">
      <c r="A200" s="102"/>
      <c r="B200" s="102"/>
      <c r="C200" s="102"/>
      <c r="D200" s="103"/>
      <c r="E200" s="103"/>
      <c r="F200" s="103"/>
      <c r="G200" s="103"/>
      <c r="H200" s="103"/>
      <c r="I200" s="5"/>
    </row>
    <row r="201" spans="1:9" ht="15.75" customHeight="1" x14ac:dyDescent="0.2">
      <c r="A201" s="102"/>
      <c r="B201" s="102"/>
      <c r="C201" s="102"/>
      <c r="D201" s="103"/>
      <c r="E201" s="103"/>
      <c r="F201" s="103"/>
      <c r="G201" s="103"/>
      <c r="H201" s="103"/>
      <c r="I201" s="5"/>
    </row>
    <row r="202" spans="1:9" ht="15.75" customHeight="1" x14ac:dyDescent="0.2">
      <c r="A202" s="102"/>
      <c r="B202" s="102"/>
      <c r="C202" s="102"/>
      <c r="D202" s="103"/>
      <c r="E202" s="103"/>
      <c r="F202" s="103"/>
      <c r="G202" s="103"/>
      <c r="H202" s="103"/>
      <c r="I202" s="5"/>
    </row>
    <row r="203" spans="1:9" ht="15.75" customHeight="1" x14ac:dyDescent="0.2">
      <c r="A203" s="102"/>
      <c r="B203" s="102"/>
      <c r="C203" s="102"/>
      <c r="D203" s="103"/>
      <c r="E203" s="103"/>
      <c r="F203" s="103"/>
      <c r="G203" s="103"/>
      <c r="H203" s="103"/>
      <c r="I203" s="5"/>
    </row>
    <row r="204" spans="1:9" ht="15.75" customHeight="1" x14ac:dyDescent="0.2">
      <c r="A204" s="102"/>
      <c r="B204" s="102"/>
      <c r="C204" s="102"/>
      <c r="D204" s="103"/>
      <c r="E204" s="103"/>
      <c r="F204" s="103"/>
      <c r="G204" s="103"/>
      <c r="H204" s="103"/>
      <c r="I204" s="5"/>
    </row>
    <row r="205" spans="1:9" ht="15.75" customHeight="1" x14ac:dyDescent="0.2">
      <c r="A205" s="102"/>
      <c r="B205" s="102"/>
      <c r="C205" s="102"/>
      <c r="D205" s="103"/>
      <c r="E205" s="103"/>
      <c r="F205" s="103"/>
      <c r="G205" s="103"/>
      <c r="H205" s="103"/>
      <c r="I205" s="5"/>
    </row>
    <row r="206" spans="1:9" ht="15.75" customHeight="1" x14ac:dyDescent="0.2">
      <c r="A206" s="102"/>
      <c r="B206" s="102"/>
      <c r="C206" s="102"/>
      <c r="D206" s="103"/>
      <c r="E206" s="103"/>
      <c r="F206" s="103"/>
      <c r="G206" s="103"/>
      <c r="H206" s="103"/>
      <c r="I206" s="5"/>
    </row>
    <row r="207" spans="1:9" ht="15.75" customHeight="1" x14ac:dyDescent="0.2">
      <c r="A207" s="102"/>
      <c r="B207" s="102"/>
      <c r="C207" s="102"/>
      <c r="D207" s="103"/>
      <c r="E207" s="103"/>
      <c r="F207" s="103"/>
      <c r="G207" s="103"/>
      <c r="H207" s="103"/>
      <c r="I207" s="5"/>
    </row>
    <row r="208" spans="1:9" ht="15.75" customHeight="1" x14ac:dyDescent="0.2">
      <c r="A208" s="102"/>
      <c r="B208" s="102"/>
      <c r="C208" s="102"/>
      <c r="D208" s="103"/>
      <c r="E208" s="103"/>
      <c r="F208" s="103"/>
      <c r="G208" s="103"/>
      <c r="H208" s="103"/>
      <c r="I208" s="5"/>
    </row>
    <row r="209" spans="1:9" ht="15.75" customHeight="1" x14ac:dyDescent="0.2">
      <c r="A209" s="102"/>
      <c r="B209" s="102"/>
      <c r="C209" s="102"/>
      <c r="D209" s="103"/>
      <c r="E209" s="103"/>
      <c r="F209" s="103"/>
      <c r="G209" s="103"/>
      <c r="H209" s="103"/>
      <c r="I209" s="5"/>
    </row>
    <row r="210" spans="1:9" ht="15.75" customHeight="1" x14ac:dyDescent="0.2">
      <c r="A210" s="102"/>
      <c r="B210" s="102"/>
      <c r="C210" s="102"/>
      <c r="D210" s="103"/>
      <c r="E210" s="103"/>
      <c r="F210" s="103"/>
      <c r="G210" s="103"/>
      <c r="H210" s="103"/>
      <c r="I210" s="5"/>
    </row>
    <row r="211" spans="1:9" ht="15.75" customHeight="1" x14ac:dyDescent="0.2">
      <c r="A211" s="102"/>
      <c r="B211" s="102"/>
      <c r="C211" s="102"/>
      <c r="D211" s="103"/>
      <c r="E211" s="103"/>
      <c r="F211" s="103"/>
      <c r="G211" s="103"/>
      <c r="H211" s="103"/>
      <c r="I211" s="5"/>
    </row>
    <row r="212" spans="1:9" ht="15.75" customHeight="1" x14ac:dyDescent="0.2">
      <c r="A212" s="102"/>
      <c r="B212" s="102"/>
      <c r="C212" s="102"/>
      <c r="D212" s="103"/>
      <c r="E212" s="103"/>
      <c r="F212" s="103"/>
      <c r="G212" s="103"/>
      <c r="H212" s="103"/>
      <c r="I212" s="5"/>
    </row>
    <row r="213" spans="1:9" ht="15.75" customHeight="1" x14ac:dyDescent="0.2">
      <c r="A213" s="102"/>
      <c r="B213" s="102"/>
      <c r="C213" s="102"/>
      <c r="D213" s="103"/>
      <c r="E213" s="103"/>
      <c r="F213" s="103"/>
      <c r="G213" s="103"/>
      <c r="H213" s="103"/>
      <c r="I213" s="5"/>
    </row>
    <row r="214" spans="1:9" ht="15.75" customHeight="1" x14ac:dyDescent="0.2">
      <c r="A214" s="102"/>
      <c r="B214" s="102"/>
      <c r="C214" s="102"/>
      <c r="D214" s="103"/>
      <c r="E214" s="103"/>
      <c r="F214" s="103"/>
      <c r="G214" s="103"/>
      <c r="H214" s="103"/>
      <c r="I214" s="5"/>
    </row>
    <row r="215" spans="1:9" ht="15.75" customHeight="1" x14ac:dyDescent="0.2">
      <c r="A215" s="102"/>
      <c r="B215" s="102"/>
      <c r="C215" s="102"/>
      <c r="D215" s="103"/>
      <c r="E215" s="103"/>
      <c r="F215" s="103"/>
      <c r="G215" s="103"/>
      <c r="H215" s="103"/>
      <c r="I215" s="5"/>
    </row>
    <row r="216" spans="1:9" ht="15.75" customHeight="1" x14ac:dyDescent="0.2">
      <c r="A216" s="102"/>
      <c r="B216" s="102"/>
      <c r="C216" s="102"/>
      <c r="D216" s="103"/>
      <c r="E216" s="103"/>
      <c r="F216" s="103"/>
      <c r="G216" s="103"/>
      <c r="H216" s="103"/>
      <c r="I216" s="5"/>
    </row>
    <row r="217" spans="1:9" ht="15.75" customHeight="1" x14ac:dyDescent="0.2">
      <c r="A217" s="102"/>
      <c r="B217" s="102"/>
      <c r="C217" s="102"/>
      <c r="D217" s="103"/>
      <c r="E217" s="103"/>
      <c r="F217" s="103"/>
      <c r="G217" s="103"/>
      <c r="H217" s="103"/>
      <c r="I217" s="5"/>
    </row>
    <row r="218" spans="1:9" ht="15.75" customHeight="1" x14ac:dyDescent="0.2">
      <c r="A218" s="102"/>
      <c r="B218" s="102"/>
      <c r="C218" s="102"/>
      <c r="D218" s="103"/>
      <c r="E218" s="103"/>
      <c r="F218" s="103"/>
      <c r="G218" s="103"/>
      <c r="H218" s="103"/>
      <c r="I218" s="5"/>
    </row>
    <row r="219" spans="1:9" ht="15.75" customHeight="1" x14ac:dyDescent="0.2">
      <c r="A219" s="102"/>
      <c r="B219" s="102"/>
      <c r="C219" s="102"/>
      <c r="D219" s="103"/>
      <c r="E219" s="103"/>
      <c r="F219" s="103"/>
      <c r="G219" s="103"/>
      <c r="H219" s="103"/>
      <c r="I219" s="5"/>
    </row>
    <row r="220" spans="1:9" ht="15.75" customHeight="1" x14ac:dyDescent="0.2">
      <c r="A220" s="102"/>
      <c r="B220" s="102"/>
      <c r="C220" s="102"/>
      <c r="D220" s="103"/>
      <c r="E220" s="103"/>
      <c r="F220" s="103"/>
      <c r="G220" s="103"/>
      <c r="H220" s="103"/>
      <c r="I220" s="5"/>
    </row>
    <row r="221" spans="1:9" ht="15.75" customHeight="1" x14ac:dyDescent="0.2">
      <c r="A221" s="102"/>
      <c r="B221" s="102"/>
      <c r="C221" s="102"/>
      <c r="D221" s="103"/>
      <c r="E221" s="103"/>
      <c r="F221" s="103"/>
      <c r="G221" s="103"/>
      <c r="H221" s="103"/>
      <c r="I221" s="5"/>
    </row>
    <row r="222" spans="1:9" ht="15.75" customHeight="1" x14ac:dyDescent="0.2">
      <c r="A222" s="102"/>
      <c r="B222" s="102"/>
      <c r="C222" s="102"/>
      <c r="D222" s="103"/>
      <c r="E222" s="103"/>
      <c r="F222" s="103"/>
      <c r="G222" s="103"/>
      <c r="H222" s="103"/>
      <c r="I222" s="5"/>
    </row>
    <row r="223" spans="1:9" ht="15.75" customHeight="1" x14ac:dyDescent="0.2">
      <c r="A223" s="102"/>
      <c r="B223" s="102"/>
      <c r="C223" s="102"/>
      <c r="D223" s="103"/>
      <c r="E223" s="103"/>
      <c r="F223" s="103"/>
      <c r="G223" s="103"/>
      <c r="H223" s="103"/>
      <c r="I223" s="5"/>
    </row>
    <row r="224" spans="1:9" ht="15.75" customHeight="1" x14ac:dyDescent="0.2">
      <c r="A224" s="102"/>
      <c r="B224" s="102"/>
      <c r="C224" s="102"/>
      <c r="D224" s="103"/>
      <c r="E224" s="103"/>
      <c r="F224" s="103"/>
      <c r="G224" s="103"/>
      <c r="H224" s="103"/>
      <c r="I224" s="5"/>
    </row>
    <row r="225" spans="1:9" ht="15.75" customHeight="1" x14ac:dyDescent="0.2">
      <c r="A225" s="102"/>
      <c r="B225" s="102"/>
      <c r="C225" s="102"/>
      <c r="D225" s="103"/>
      <c r="E225" s="103"/>
      <c r="F225" s="103"/>
      <c r="G225" s="103"/>
      <c r="H225" s="103"/>
      <c r="I225" s="5"/>
    </row>
    <row r="226" spans="1:9" ht="15.75" customHeight="1" x14ac:dyDescent="0.2">
      <c r="A226" s="102"/>
      <c r="B226" s="102"/>
      <c r="C226" s="102"/>
      <c r="D226" s="103"/>
      <c r="E226" s="103"/>
      <c r="F226" s="103"/>
      <c r="G226" s="103"/>
      <c r="H226" s="103"/>
      <c r="I226" s="5"/>
    </row>
    <row r="227" spans="1:9" ht="15.75" customHeight="1" x14ac:dyDescent="0.2">
      <c r="A227" s="102"/>
      <c r="B227" s="102"/>
      <c r="C227" s="102"/>
      <c r="D227" s="103"/>
      <c r="E227" s="103"/>
      <c r="F227" s="103"/>
      <c r="G227" s="103"/>
      <c r="H227" s="103"/>
      <c r="I227" s="5"/>
    </row>
    <row r="228" spans="1:9" ht="15.75" customHeight="1" x14ac:dyDescent="0.2">
      <c r="A228" s="102"/>
      <c r="B228" s="102"/>
      <c r="C228" s="102"/>
      <c r="D228" s="103"/>
      <c r="E228" s="103"/>
      <c r="F228" s="103"/>
      <c r="G228" s="103"/>
      <c r="H228" s="103"/>
      <c r="I228" s="5"/>
    </row>
    <row r="229" spans="1:9" ht="15.75" customHeight="1" x14ac:dyDescent="0.2">
      <c r="A229" s="102"/>
      <c r="B229" s="102"/>
      <c r="C229" s="102"/>
      <c r="D229" s="103"/>
      <c r="E229" s="103"/>
      <c r="F229" s="103"/>
      <c r="G229" s="103"/>
      <c r="H229" s="103"/>
      <c r="I229" s="5"/>
    </row>
    <row r="230" spans="1:9" ht="15.75" customHeight="1" x14ac:dyDescent="0.2">
      <c r="A230" s="102"/>
      <c r="B230" s="102"/>
      <c r="C230" s="102"/>
      <c r="D230" s="103"/>
      <c r="E230" s="103"/>
      <c r="F230" s="103"/>
      <c r="G230" s="103"/>
      <c r="H230" s="103"/>
      <c r="I230" s="5"/>
    </row>
    <row r="231" spans="1:9" ht="15.75" customHeight="1" x14ac:dyDescent="0.2">
      <c r="A231" s="102"/>
      <c r="B231" s="102"/>
      <c r="C231" s="102"/>
      <c r="D231" s="103"/>
      <c r="E231" s="103"/>
      <c r="F231" s="103"/>
      <c r="G231" s="103"/>
      <c r="H231" s="103"/>
      <c r="I231" s="5"/>
    </row>
    <row r="232" spans="1:9" ht="15.75" customHeight="1" x14ac:dyDescent="0.2">
      <c r="A232" s="102"/>
      <c r="B232" s="102"/>
      <c r="C232" s="102"/>
      <c r="D232" s="103"/>
      <c r="E232" s="103"/>
      <c r="F232" s="103"/>
      <c r="G232" s="103"/>
      <c r="H232" s="103"/>
      <c r="I232" s="5"/>
    </row>
    <row r="233" spans="1:9" ht="15.75" customHeight="1" x14ac:dyDescent="0.2">
      <c r="A233" s="102"/>
      <c r="B233" s="102"/>
      <c r="C233" s="102"/>
      <c r="D233" s="103"/>
      <c r="E233" s="103"/>
      <c r="F233" s="103"/>
      <c r="G233" s="103"/>
      <c r="H233" s="103"/>
      <c r="I233" s="5"/>
    </row>
    <row r="234" spans="1:9" ht="15.75" customHeight="1" x14ac:dyDescent="0.2">
      <c r="A234" s="102"/>
      <c r="B234" s="102"/>
      <c r="C234" s="102"/>
      <c r="D234" s="103"/>
      <c r="E234" s="103"/>
      <c r="F234" s="103"/>
      <c r="G234" s="103"/>
      <c r="H234" s="103"/>
      <c r="I234" s="5"/>
    </row>
    <row r="235" spans="1:9" ht="15.75" customHeight="1" x14ac:dyDescent="0.2">
      <c r="A235" s="102"/>
      <c r="B235" s="102"/>
      <c r="C235" s="102"/>
      <c r="D235" s="103"/>
      <c r="E235" s="103"/>
      <c r="F235" s="103"/>
      <c r="G235" s="103"/>
      <c r="H235" s="103"/>
      <c r="I235" s="5"/>
    </row>
    <row r="236" spans="1:9" ht="15.75" customHeight="1" x14ac:dyDescent="0.2">
      <c r="A236" s="102"/>
      <c r="B236" s="102"/>
      <c r="C236" s="102"/>
      <c r="D236" s="103"/>
      <c r="E236" s="103"/>
      <c r="F236" s="103"/>
      <c r="G236" s="103"/>
      <c r="H236" s="103"/>
      <c r="I236" s="5"/>
    </row>
    <row r="237" spans="1:9" ht="15.75" customHeight="1" x14ac:dyDescent="0.2">
      <c r="A237" s="102"/>
      <c r="B237" s="102"/>
      <c r="C237" s="102"/>
      <c r="D237" s="103"/>
      <c r="E237" s="103"/>
      <c r="F237" s="103"/>
      <c r="G237" s="103"/>
      <c r="H237" s="103"/>
      <c r="I237" s="5"/>
    </row>
    <row r="238" spans="1:9" ht="15.75" customHeight="1" x14ac:dyDescent="0.2">
      <c r="A238" s="102"/>
      <c r="B238" s="102"/>
      <c r="C238" s="102"/>
      <c r="D238" s="103"/>
      <c r="E238" s="103"/>
      <c r="F238" s="103"/>
      <c r="G238" s="103"/>
      <c r="H238" s="103"/>
      <c r="I238" s="5"/>
    </row>
    <row r="239" spans="1:9" ht="15.75" customHeight="1" x14ac:dyDescent="0.2">
      <c r="A239" s="102"/>
      <c r="B239" s="102"/>
      <c r="C239" s="102"/>
      <c r="D239" s="103"/>
      <c r="E239" s="103"/>
      <c r="F239" s="103"/>
      <c r="G239" s="103"/>
      <c r="H239" s="103"/>
      <c r="I239" s="5"/>
    </row>
    <row r="240" spans="1:9" ht="15.75" customHeight="1" x14ac:dyDescent="0.2">
      <c r="A240" s="102"/>
      <c r="B240" s="102"/>
      <c r="C240" s="102"/>
      <c r="D240" s="103"/>
      <c r="E240" s="103"/>
      <c r="F240" s="103"/>
      <c r="G240" s="103"/>
      <c r="H240" s="103"/>
      <c r="I240" s="5"/>
    </row>
    <row r="241" spans="1:9" ht="15.75" customHeight="1" x14ac:dyDescent="0.2">
      <c r="A241" s="102"/>
      <c r="B241" s="102"/>
      <c r="C241" s="102"/>
      <c r="D241" s="103"/>
      <c r="E241" s="103"/>
      <c r="F241" s="103"/>
      <c r="G241" s="103"/>
      <c r="H241" s="103"/>
      <c r="I241" s="5"/>
    </row>
    <row r="242" spans="1:9" ht="15.75" customHeight="1" x14ac:dyDescent="0.2">
      <c r="A242" s="102"/>
      <c r="B242" s="102"/>
      <c r="C242" s="102"/>
      <c r="D242" s="103"/>
      <c r="E242" s="103"/>
      <c r="F242" s="103"/>
      <c r="G242" s="103"/>
      <c r="H242" s="103"/>
      <c r="I242" s="5"/>
    </row>
    <row r="243" spans="1:9" ht="15.75" customHeight="1" x14ac:dyDescent="0.2">
      <c r="A243" s="102"/>
      <c r="B243" s="102"/>
      <c r="C243" s="102"/>
      <c r="D243" s="103"/>
      <c r="E243" s="103"/>
      <c r="F243" s="103"/>
      <c r="G243" s="103"/>
      <c r="H243" s="103"/>
      <c r="I243" s="5"/>
    </row>
    <row r="244" spans="1:9" ht="15.75" customHeight="1" x14ac:dyDescent="0.2">
      <c r="A244" s="102"/>
      <c r="B244" s="102"/>
      <c r="C244" s="102"/>
      <c r="D244" s="103"/>
      <c r="E244" s="103"/>
      <c r="F244" s="103"/>
      <c r="G244" s="103"/>
      <c r="H244" s="103"/>
      <c r="I244" s="5"/>
    </row>
    <row r="245" spans="1:9" ht="15.75" customHeight="1" x14ac:dyDescent="0.2">
      <c r="A245" s="102"/>
      <c r="B245" s="102"/>
      <c r="C245" s="102"/>
      <c r="D245" s="103"/>
      <c r="E245" s="103"/>
      <c r="F245" s="103"/>
      <c r="G245" s="103"/>
      <c r="H245" s="103"/>
      <c r="I245" s="5"/>
    </row>
    <row r="246" spans="1:9" ht="15.75" customHeight="1" x14ac:dyDescent="0.2">
      <c r="A246" s="102"/>
      <c r="B246" s="102"/>
      <c r="C246" s="102"/>
      <c r="D246" s="103"/>
      <c r="E246" s="103"/>
      <c r="F246" s="103"/>
      <c r="G246" s="103"/>
      <c r="H246" s="103"/>
      <c r="I246" s="5"/>
    </row>
    <row r="247" spans="1:9" ht="15.75" customHeight="1" x14ac:dyDescent="0.2">
      <c r="A247" s="102"/>
      <c r="B247" s="102"/>
      <c r="C247" s="102"/>
      <c r="D247" s="103"/>
      <c r="E247" s="103"/>
      <c r="F247" s="103"/>
      <c r="G247" s="103"/>
      <c r="H247" s="103"/>
      <c r="I247" s="5"/>
    </row>
    <row r="248" spans="1:9" ht="15.75" customHeight="1" x14ac:dyDescent="0.2">
      <c r="A248" s="102"/>
      <c r="B248" s="102"/>
      <c r="C248" s="102"/>
      <c r="D248" s="103"/>
      <c r="E248" s="103"/>
      <c r="F248" s="103"/>
      <c r="G248" s="103"/>
      <c r="H248" s="103"/>
      <c r="I248" s="5"/>
    </row>
    <row r="249" spans="1:9" ht="15.75" customHeight="1" x14ac:dyDescent="0.2">
      <c r="A249" s="102"/>
      <c r="B249" s="102"/>
      <c r="C249" s="102"/>
      <c r="D249" s="103"/>
      <c r="E249" s="103"/>
      <c r="F249" s="103"/>
      <c r="G249" s="103"/>
      <c r="H249" s="103"/>
      <c r="I249" s="5"/>
    </row>
    <row r="250" spans="1:9" ht="15.75" customHeight="1" x14ac:dyDescent="0.2">
      <c r="A250" s="102"/>
      <c r="B250" s="102"/>
      <c r="C250" s="102"/>
      <c r="D250" s="103"/>
      <c r="E250" s="103"/>
      <c r="F250" s="103"/>
      <c r="G250" s="103"/>
      <c r="H250" s="103"/>
      <c r="I250" s="5"/>
    </row>
    <row r="251" spans="1:9" ht="15.75" customHeight="1" x14ac:dyDescent="0.2">
      <c r="A251" s="102"/>
      <c r="B251" s="102"/>
      <c r="C251" s="102"/>
      <c r="D251" s="103"/>
      <c r="E251" s="103"/>
      <c r="F251" s="103"/>
      <c r="G251" s="103"/>
      <c r="H251" s="103"/>
      <c r="I251" s="5"/>
    </row>
    <row r="252" spans="1:9" ht="15.75" customHeight="1" x14ac:dyDescent="0.2">
      <c r="A252" s="102"/>
      <c r="B252" s="102"/>
      <c r="C252" s="102"/>
      <c r="D252" s="103"/>
      <c r="E252" s="103"/>
      <c r="F252" s="103"/>
      <c r="G252" s="103"/>
      <c r="H252" s="103"/>
      <c r="I252" s="5"/>
    </row>
    <row r="253" spans="1:9" ht="15.75" customHeight="1" x14ac:dyDescent="0.2">
      <c r="A253" s="102"/>
      <c r="B253" s="102"/>
      <c r="C253" s="102"/>
      <c r="D253" s="103"/>
      <c r="E253" s="103"/>
      <c r="F253" s="103"/>
      <c r="G253" s="103"/>
      <c r="H253" s="103"/>
      <c r="I253" s="5"/>
    </row>
    <row r="254" spans="1:9" ht="15.75" customHeight="1" x14ac:dyDescent="0.2">
      <c r="A254" s="102"/>
      <c r="B254" s="102"/>
      <c r="C254" s="102"/>
      <c r="D254" s="103"/>
      <c r="E254" s="103"/>
      <c r="F254" s="103"/>
      <c r="G254" s="103"/>
      <c r="H254" s="103"/>
      <c r="I254" s="5"/>
    </row>
    <row r="255" spans="1:9" ht="15.75" customHeight="1" x14ac:dyDescent="0.2">
      <c r="A255" s="102"/>
      <c r="B255" s="102"/>
      <c r="C255" s="102"/>
      <c r="D255" s="103"/>
      <c r="E255" s="103"/>
      <c r="F255" s="103"/>
      <c r="G255" s="103"/>
      <c r="H255" s="103"/>
      <c r="I255" s="5"/>
    </row>
    <row r="256" spans="1:9" ht="15.75" customHeight="1" x14ac:dyDescent="0.2">
      <c r="A256" s="102"/>
      <c r="B256" s="102"/>
      <c r="C256" s="102"/>
      <c r="D256" s="103"/>
      <c r="E256" s="103"/>
      <c r="F256" s="103"/>
      <c r="G256" s="103"/>
      <c r="H256" s="103"/>
      <c r="I256" s="5"/>
    </row>
    <row r="257" spans="1:9" ht="15.75" customHeight="1" x14ac:dyDescent="0.2">
      <c r="A257" s="102"/>
      <c r="B257" s="102"/>
      <c r="C257" s="102"/>
      <c r="D257" s="103"/>
      <c r="E257" s="103"/>
      <c r="F257" s="103"/>
      <c r="G257" s="103"/>
      <c r="H257" s="103"/>
      <c r="I257" s="5"/>
    </row>
    <row r="258" spans="1:9" ht="15.75" customHeight="1" x14ac:dyDescent="0.2">
      <c r="A258" s="102"/>
      <c r="B258" s="102"/>
      <c r="C258" s="102"/>
      <c r="D258" s="103"/>
      <c r="E258" s="103"/>
      <c r="F258" s="103"/>
      <c r="G258" s="103"/>
      <c r="H258" s="103"/>
      <c r="I258" s="5"/>
    </row>
    <row r="259" spans="1:9" ht="15.75" customHeight="1" x14ac:dyDescent="0.2">
      <c r="A259" s="102"/>
      <c r="B259" s="102"/>
      <c r="C259" s="102"/>
      <c r="D259" s="103"/>
      <c r="E259" s="103"/>
      <c r="F259" s="103"/>
      <c r="G259" s="103"/>
      <c r="H259" s="103"/>
      <c r="I259" s="5"/>
    </row>
    <row r="260" spans="1:9" ht="15.75" customHeight="1" x14ac:dyDescent="0.2">
      <c r="A260" s="102"/>
      <c r="B260" s="102"/>
      <c r="C260" s="102"/>
      <c r="D260" s="103"/>
      <c r="E260" s="103"/>
      <c r="F260" s="103"/>
      <c r="G260" s="103"/>
      <c r="H260" s="103"/>
      <c r="I260" s="5"/>
    </row>
    <row r="261" spans="1:9" ht="15.75" customHeight="1" x14ac:dyDescent="0.2">
      <c r="A261" s="102"/>
      <c r="B261" s="102"/>
      <c r="C261" s="102"/>
      <c r="D261" s="103"/>
      <c r="E261" s="103"/>
      <c r="F261" s="103"/>
      <c r="G261" s="103"/>
      <c r="H261" s="103"/>
      <c r="I261" s="5"/>
    </row>
    <row r="262" spans="1:9" ht="15.75" customHeight="1" x14ac:dyDescent="0.2">
      <c r="A262" s="102"/>
      <c r="B262" s="102"/>
      <c r="C262" s="102"/>
      <c r="D262" s="103"/>
      <c r="E262" s="103"/>
      <c r="F262" s="103"/>
      <c r="G262" s="103"/>
      <c r="H262" s="103"/>
      <c r="I262" s="5"/>
    </row>
    <row r="263" spans="1:9" ht="15.75" customHeight="1" x14ac:dyDescent="0.2">
      <c r="A263" s="102"/>
      <c r="B263" s="102"/>
      <c r="C263" s="102"/>
      <c r="D263" s="103"/>
      <c r="E263" s="103"/>
      <c r="F263" s="103"/>
      <c r="G263" s="103"/>
      <c r="H263" s="103"/>
      <c r="I263" s="5"/>
    </row>
    <row r="264" spans="1:9" ht="15.75" customHeight="1" x14ac:dyDescent="0.2">
      <c r="A264" s="102"/>
      <c r="B264" s="102"/>
      <c r="C264" s="102"/>
      <c r="D264" s="103"/>
      <c r="E264" s="103"/>
      <c r="F264" s="103"/>
      <c r="G264" s="103"/>
      <c r="H264" s="103"/>
      <c r="I264" s="5"/>
    </row>
    <row r="265" spans="1:9" ht="15.75" customHeight="1" x14ac:dyDescent="0.2">
      <c r="A265" s="102"/>
      <c r="B265" s="102"/>
      <c r="C265" s="102"/>
      <c r="D265" s="103"/>
      <c r="E265" s="103"/>
      <c r="F265" s="103"/>
      <c r="G265" s="103"/>
      <c r="H265" s="103"/>
      <c r="I265" s="5"/>
    </row>
    <row r="266" spans="1:9" ht="15.75" customHeight="1" x14ac:dyDescent="0.2">
      <c r="A266" s="102"/>
      <c r="B266" s="102"/>
      <c r="C266" s="102"/>
      <c r="D266" s="103"/>
      <c r="E266" s="103"/>
      <c r="F266" s="103"/>
      <c r="G266" s="103"/>
      <c r="H266" s="103"/>
      <c r="I266" s="5"/>
    </row>
    <row r="267" spans="1:9" ht="15.75" customHeight="1" x14ac:dyDescent="0.2">
      <c r="A267" s="102"/>
      <c r="B267" s="102"/>
      <c r="C267" s="102"/>
      <c r="D267" s="103"/>
      <c r="E267" s="103"/>
      <c r="F267" s="103"/>
      <c r="G267" s="103"/>
      <c r="H267" s="103"/>
      <c r="I267" s="5"/>
    </row>
    <row r="268" spans="1:9" ht="15.75" customHeight="1" x14ac:dyDescent="0.2">
      <c r="A268" s="102"/>
      <c r="B268" s="102"/>
      <c r="C268" s="102"/>
      <c r="D268" s="103"/>
      <c r="E268" s="103"/>
      <c r="F268" s="103"/>
      <c r="G268" s="103"/>
      <c r="H268" s="103"/>
      <c r="I268" s="5"/>
    </row>
    <row r="269" spans="1:9" ht="15.75" customHeight="1" x14ac:dyDescent="0.2">
      <c r="A269" s="102"/>
      <c r="B269" s="102"/>
      <c r="C269" s="102"/>
      <c r="D269" s="103"/>
      <c r="E269" s="103"/>
      <c r="F269" s="103"/>
      <c r="G269" s="103"/>
      <c r="H269" s="103"/>
      <c r="I269" s="5"/>
    </row>
    <row r="270" spans="1:9" ht="15.75" customHeight="1" x14ac:dyDescent="0.2">
      <c r="A270" s="102"/>
      <c r="B270" s="102"/>
      <c r="C270" s="102"/>
      <c r="D270" s="103"/>
      <c r="E270" s="103"/>
      <c r="F270" s="103"/>
      <c r="G270" s="103"/>
      <c r="H270" s="103"/>
      <c r="I270" s="5"/>
    </row>
    <row r="271" spans="1:9" ht="15.75" customHeight="1" x14ac:dyDescent="0.2">
      <c r="A271" s="102"/>
      <c r="B271" s="102"/>
      <c r="C271" s="102"/>
      <c r="D271" s="103"/>
      <c r="E271" s="103"/>
      <c r="F271" s="103"/>
      <c r="G271" s="103"/>
      <c r="H271" s="103"/>
      <c r="I271" s="5"/>
    </row>
    <row r="272" spans="1:9" ht="15.75" customHeight="1" x14ac:dyDescent="0.2">
      <c r="A272" s="102"/>
      <c r="B272" s="102"/>
      <c r="C272" s="102"/>
      <c r="D272" s="103"/>
      <c r="E272" s="103"/>
      <c r="F272" s="103"/>
      <c r="G272" s="103"/>
      <c r="H272" s="103"/>
      <c r="I272" s="5"/>
    </row>
    <row r="273" spans="1:9" ht="15.75" customHeight="1" x14ac:dyDescent="0.2">
      <c r="A273" s="102"/>
      <c r="B273" s="102"/>
      <c r="C273" s="102"/>
      <c r="D273" s="103"/>
      <c r="E273" s="103"/>
      <c r="F273" s="103"/>
      <c r="G273" s="103"/>
      <c r="H273" s="103"/>
      <c r="I273" s="5"/>
    </row>
    <row r="274" spans="1:9" ht="15.75" customHeight="1" x14ac:dyDescent="0.2">
      <c r="A274" s="102"/>
      <c r="B274" s="102"/>
      <c r="C274" s="102"/>
      <c r="D274" s="103"/>
      <c r="E274" s="103"/>
      <c r="F274" s="103"/>
      <c r="G274" s="103"/>
      <c r="H274" s="103"/>
      <c r="I274" s="5"/>
    </row>
    <row r="275" spans="1:9" ht="15.75" customHeight="1" x14ac:dyDescent="0.2">
      <c r="A275" s="102"/>
      <c r="B275" s="102"/>
      <c r="C275" s="102"/>
      <c r="D275" s="103"/>
      <c r="E275" s="103"/>
      <c r="F275" s="103"/>
      <c r="G275" s="103"/>
      <c r="H275" s="103"/>
      <c r="I275" s="5"/>
    </row>
    <row r="276" spans="1:9" ht="15.75" customHeight="1" x14ac:dyDescent="0.2">
      <c r="A276" s="102"/>
      <c r="B276" s="102"/>
      <c r="C276" s="102"/>
      <c r="D276" s="103"/>
      <c r="E276" s="103"/>
      <c r="F276" s="103"/>
      <c r="G276" s="103"/>
      <c r="H276" s="103"/>
      <c r="I276" s="5"/>
    </row>
    <row r="277" spans="1:9" ht="15.75" customHeight="1" x14ac:dyDescent="0.2">
      <c r="A277" s="102"/>
      <c r="B277" s="102"/>
      <c r="C277" s="102"/>
      <c r="D277" s="103"/>
      <c r="E277" s="103"/>
      <c r="F277" s="103"/>
      <c r="G277" s="103"/>
      <c r="H277" s="103"/>
      <c r="I277" s="5"/>
    </row>
    <row r="278" spans="1:9" ht="15.75" customHeight="1" x14ac:dyDescent="0.2">
      <c r="A278" s="102"/>
      <c r="B278" s="102"/>
      <c r="C278" s="102"/>
      <c r="D278" s="103"/>
      <c r="E278" s="103"/>
      <c r="F278" s="103"/>
      <c r="G278" s="103"/>
      <c r="H278" s="103"/>
      <c r="I278" s="5"/>
    </row>
    <row r="279" spans="1:9" ht="15.75" customHeight="1" x14ac:dyDescent="0.2">
      <c r="A279" s="102"/>
      <c r="B279" s="102"/>
      <c r="C279" s="102"/>
      <c r="D279" s="103"/>
      <c r="E279" s="103"/>
      <c r="F279" s="103"/>
      <c r="G279" s="103"/>
      <c r="H279" s="103"/>
      <c r="I279" s="5"/>
    </row>
    <row r="280" spans="1:9" ht="15.75" customHeight="1" x14ac:dyDescent="0.2">
      <c r="A280" s="102"/>
      <c r="B280" s="102"/>
      <c r="C280" s="102"/>
      <c r="D280" s="103"/>
      <c r="E280" s="103"/>
      <c r="F280" s="103"/>
      <c r="G280" s="103"/>
      <c r="H280" s="103"/>
      <c r="I280" s="5"/>
    </row>
    <row r="281" spans="1:9" ht="15.75" customHeight="1" x14ac:dyDescent="0.2">
      <c r="A281" s="102"/>
      <c r="B281" s="102"/>
      <c r="C281" s="102"/>
      <c r="D281" s="103"/>
      <c r="E281" s="103"/>
      <c r="F281" s="103"/>
      <c r="G281" s="103"/>
      <c r="H281" s="103"/>
      <c r="I281" s="5"/>
    </row>
    <row r="282" spans="1:9" ht="15.75" customHeight="1" x14ac:dyDescent="0.2">
      <c r="A282" s="102"/>
      <c r="B282" s="102"/>
      <c r="C282" s="102"/>
      <c r="D282" s="103"/>
      <c r="E282" s="103"/>
      <c r="F282" s="103"/>
      <c r="G282" s="103"/>
      <c r="H282" s="103"/>
      <c r="I282" s="5"/>
    </row>
    <row r="283" spans="1:9" ht="15.75" customHeight="1" x14ac:dyDescent="0.2">
      <c r="A283" s="102"/>
      <c r="B283" s="102"/>
      <c r="C283" s="102"/>
      <c r="D283" s="103"/>
      <c r="E283" s="103"/>
      <c r="F283" s="103"/>
      <c r="G283" s="103"/>
      <c r="H283" s="103"/>
      <c r="I283" s="5"/>
    </row>
    <row r="284" spans="1:9" ht="15.75" customHeight="1" x14ac:dyDescent="0.2">
      <c r="A284" s="102"/>
      <c r="B284" s="102"/>
      <c r="C284" s="102"/>
      <c r="D284" s="103"/>
      <c r="E284" s="103"/>
      <c r="F284" s="103"/>
      <c r="G284" s="103"/>
      <c r="H284" s="103"/>
      <c r="I284" s="5"/>
    </row>
    <row r="285" spans="1:9" ht="15.75" customHeight="1" x14ac:dyDescent="0.2">
      <c r="A285" s="102"/>
      <c r="B285" s="102"/>
      <c r="C285" s="102"/>
      <c r="D285" s="103"/>
      <c r="E285" s="103"/>
      <c r="F285" s="103"/>
      <c r="G285" s="103"/>
      <c r="H285" s="103"/>
      <c r="I285" s="5"/>
    </row>
    <row r="286" spans="1:9" ht="15.75" customHeight="1" x14ac:dyDescent="0.2">
      <c r="A286" s="102"/>
      <c r="B286" s="102"/>
      <c r="C286" s="102"/>
      <c r="D286" s="103"/>
      <c r="E286" s="103"/>
      <c r="F286" s="103"/>
      <c r="G286" s="103"/>
      <c r="H286" s="103"/>
      <c r="I286" s="5"/>
    </row>
    <row r="287" spans="1:9" ht="15.75" customHeight="1" x14ac:dyDescent="0.2">
      <c r="A287" s="102"/>
      <c r="B287" s="102"/>
      <c r="C287" s="102"/>
      <c r="D287" s="103"/>
      <c r="E287" s="103"/>
      <c r="F287" s="103"/>
      <c r="G287" s="103"/>
      <c r="H287" s="103"/>
      <c r="I287" s="5"/>
    </row>
    <row r="288" spans="1:9" ht="15.75" customHeight="1" x14ac:dyDescent="0.2">
      <c r="A288" s="102"/>
      <c r="B288" s="102"/>
      <c r="C288" s="102"/>
      <c r="D288" s="103"/>
      <c r="E288" s="103"/>
      <c r="F288" s="103"/>
      <c r="G288" s="103"/>
      <c r="H288" s="103"/>
      <c r="I288" s="5"/>
    </row>
    <row r="289" spans="1:9" ht="15.75" customHeight="1" x14ac:dyDescent="0.2">
      <c r="A289" s="102"/>
      <c r="B289" s="102"/>
      <c r="C289" s="102"/>
      <c r="D289" s="103"/>
      <c r="E289" s="103"/>
      <c r="F289" s="103"/>
      <c r="G289" s="103"/>
      <c r="H289" s="103"/>
      <c r="I289" s="5"/>
    </row>
    <row r="290" spans="1:9" ht="15.75" customHeight="1" x14ac:dyDescent="0.2">
      <c r="A290" s="102"/>
      <c r="B290" s="102"/>
      <c r="C290" s="102"/>
      <c r="D290" s="103"/>
      <c r="E290" s="103"/>
      <c r="F290" s="103"/>
      <c r="G290" s="103"/>
      <c r="H290" s="103"/>
      <c r="I290" s="5"/>
    </row>
    <row r="291" spans="1:9" ht="15.75" customHeight="1" x14ac:dyDescent="0.2">
      <c r="A291" s="102"/>
      <c r="B291" s="102"/>
      <c r="C291" s="102"/>
      <c r="D291" s="103"/>
      <c r="E291" s="103"/>
      <c r="F291" s="103"/>
      <c r="G291" s="103"/>
      <c r="H291" s="103"/>
      <c r="I291" s="5"/>
    </row>
    <row r="292" spans="1:9" ht="15.75" customHeight="1" x14ac:dyDescent="0.2">
      <c r="A292" s="102"/>
      <c r="B292" s="102"/>
      <c r="C292" s="102"/>
      <c r="D292" s="103"/>
      <c r="E292" s="103"/>
      <c r="F292" s="103"/>
      <c r="G292" s="103"/>
      <c r="H292" s="103"/>
      <c r="I292" s="5"/>
    </row>
    <row r="293" spans="1:9" ht="15.75" customHeight="1" x14ac:dyDescent="0.2">
      <c r="A293" s="102"/>
      <c r="B293" s="102"/>
      <c r="C293" s="102"/>
      <c r="D293" s="103"/>
      <c r="E293" s="103"/>
      <c r="F293" s="103"/>
      <c r="G293" s="103"/>
      <c r="H293" s="103"/>
      <c r="I293" s="5"/>
    </row>
    <row r="294" spans="1:9" ht="15.75" customHeight="1" x14ac:dyDescent="0.2">
      <c r="A294" s="102"/>
      <c r="B294" s="102"/>
      <c r="C294" s="102"/>
      <c r="D294" s="103"/>
      <c r="E294" s="103"/>
      <c r="F294" s="103"/>
      <c r="G294" s="103"/>
      <c r="H294" s="103"/>
      <c r="I294" s="5"/>
    </row>
    <row r="295" spans="1:9" ht="15.75" customHeight="1" x14ac:dyDescent="0.2">
      <c r="A295" s="102"/>
      <c r="B295" s="102"/>
      <c r="C295" s="102"/>
      <c r="D295" s="103"/>
      <c r="E295" s="103"/>
      <c r="F295" s="103"/>
      <c r="G295" s="103"/>
      <c r="H295" s="103"/>
      <c r="I295" s="5"/>
    </row>
    <row r="296" spans="1:9" ht="15.75" customHeight="1" x14ac:dyDescent="0.2">
      <c r="A296" s="102"/>
      <c r="B296" s="102"/>
      <c r="C296" s="102"/>
      <c r="D296" s="103"/>
      <c r="E296" s="103"/>
      <c r="F296" s="103"/>
      <c r="G296" s="103"/>
      <c r="H296" s="103"/>
      <c r="I296" s="5"/>
    </row>
    <row r="297" spans="1:9" ht="15.75" customHeight="1" x14ac:dyDescent="0.2">
      <c r="A297" s="102"/>
      <c r="B297" s="102"/>
      <c r="C297" s="102"/>
      <c r="D297" s="103"/>
      <c r="E297" s="103"/>
      <c r="F297" s="103"/>
      <c r="G297" s="103"/>
      <c r="H297" s="103"/>
      <c r="I297" s="5"/>
    </row>
    <row r="298" spans="1:9" ht="15.75" customHeight="1" x14ac:dyDescent="0.2">
      <c r="A298" s="102"/>
      <c r="B298" s="102"/>
      <c r="C298" s="102"/>
      <c r="D298" s="103"/>
      <c r="E298" s="103"/>
      <c r="F298" s="103"/>
      <c r="G298" s="103"/>
      <c r="H298" s="103"/>
      <c r="I298" s="5"/>
    </row>
    <row r="299" spans="1:9" ht="15.75" customHeight="1" x14ac:dyDescent="0.2">
      <c r="A299" s="102"/>
      <c r="B299" s="102"/>
      <c r="C299" s="102"/>
      <c r="D299" s="103"/>
      <c r="E299" s="103"/>
      <c r="F299" s="103"/>
      <c r="G299" s="103"/>
      <c r="H299" s="103"/>
      <c r="I299" s="5"/>
    </row>
    <row r="300" spans="1:9" ht="15.75" customHeight="1" x14ac:dyDescent="0.2">
      <c r="A300" s="102"/>
      <c r="B300" s="102"/>
      <c r="C300" s="102"/>
      <c r="D300" s="103"/>
      <c r="E300" s="103"/>
      <c r="F300" s="103"/>
      <c r="G300" s="103"/>
      <c r="H300" s="103"/>
      <c r="I300" s="5"/>
    </row>
    <row r="301" spans="1:9" ht="15.75" customHeight="1" x14ac:dyDescent="0.2">
      <c r="A301" s="102"/>
      <c r="B301" s="102"/>
      <c r="C301" s="102"/>
      <c r="D301" s="103"/>
      <c r="E301" s="103"/>
      <c r="F301" s="103"/>
      <c r="G301" s="103"/>
      <c r="H301" s="103"/>
      <c r="I301" s="5"/>
    </row>
    <row r="302" spans="1:9" ht="15.75" customHeight="1" x14ac:dyDescent="0.2">
      <c r="A302" s="102"/>
      <c r="B302" s="102"/>
      <c r="C302" s="102"/>
      <c r="D302" s="103"/>
      <c r="E302" s="103"/>
      <c r="F302" s="103"/>
      <c r="G302" s="103"/>
      <c r="H302" s="103"/>
      <c r="I302" s="5"/>
    </row>
    <row r="303" spans="1:9" ht="15.75" customHeight="1" x14ac:dyDescent="0.2">
      <c r="A303" s="102"/>
      <c r="B303" s="102"/>
      <c r="C303" s="102"/>
      <c r="D303" s="103"/>
      <c r="E303" s="103"/>
      <c r="F303" s="103"/>
      <c r="G303" s="103"/>
      <c r="H303" s="103"/>
      <c r="I303" s="5"/>
    </row>
    <row r="304" spans="1:9" ht="15.75" customHeight="1" x14ac:dyDescent="0.2">
      <c r="A304" s="102"/>
      <c r="B304" s="102"/>
      <c r="C304" s="102"/>
      <c r="D304" s="103"/>
      <c r="E304" s="103"/>
      <c r="F304" s="103"/>
      <c r="G304" s="103"/>
      <c r="H304" s="103"/>
      <c r="I304" s="5"/>
    </row>
    <row r="305" spans="1:9" ht="15.75" customHeight="1" x14ac:dyDescent="0.2">
      <c r="A305" s="102"/>
      <c r="B305" s="102"/>
      <c r="C305" s="102"/>
      <c r="D305" s="103"/>
      <c r="E305" s="103"/>
      <c r="F305" s="103"/>
      <c r="G305" s="103"/>
      <c r="H305" s="103"/>
      <c r="I305" s="5"/>
    </row>
    <row r="306" spans="1:9" ht="15.75" customHeight="1" x14ac:dyDescent="0.2">
      <c r="A306" s="102"/>
      <c r="B306" s="102"/>
      <c r="C306" s="102"/>
      <c r="D306" s="103"/>
      <c r="E306" s="103"/>
      <c r="F306" s="103"/>
      <c r="G306" s="103"/>
      <c r="H306" s="103"/>
      <c r="I306" s="5"/>
    </row>
    <row r="307" spans="1:9" ht="15.75" customHeight="1" x14ac:dyDescent="0.2">
      <c r="A307" s="102"/>
      <c r="B307" s="102"/>
      <c r="C307" s="102"/>
      <c r="D307" s="103"/>
      <c r="E307" s="103"/>
      <c r="F307" s="103"/>
      <c r="G307" s="103"/>
      <c r="H307" s="103"/>
      <c r="I307" s="5"/>
    </row>
    <row r="308" spans="1:9" ht="15.75" customHeight="1" x14ac:dyDescent="0.2">
      <c r="A308" s="102"/>
      <c r="B308" s="102"/>
      <c r="C308" s="102"/>
      <c r="D308" s="103"/>
      <c r="E308" s="103"/>
      <c r="F308" s="103"/>
      <c r="G308" s="103"/>
      <c r="H308" s="103"/>
      <c r="I308" s="5"/>
    </row>
    <row r="309" spans="1:9" ht="15.75" customHeight="1" x14ac:dyDescent="0.2">
      <c r="A309" s="102"/>
      <c r="B309" s="102"/>
      <c r="C309" s="102"/>
      <c r="D309" s="103"/>
      <c r="E309" s="103"/>
      <c r="F309" s="103"/>
      <c r="G309" s="103"/>
      <c r="H309" s="103"/>
      <c r="I309" s="5"/>
    </row>
    <row r="310" spans="1:9" ht="15.75" customHeight="1" x14ac:dyDescent="0.2">
      <c r="A310" s="102"/>
      <c r="B310" s="102"/>
      <c r="C310" s="102"/>
      <c r="D310" s="103"/>
      <c r="E310" s="103"/>
      <c r="F310" s="103"/>
      <c r="G310" s="103"/>
      <c r="H310" s="103"/>
      <c r="I310" s="5"/>
    </row>
    <row r="311" spans="1:9" ht="15.75" customHeight="1" x14ac:dyDescent="0.2">
      <c r="A311" s="102"/>
      <c r="B311" s="102"/>
      <c r="C311" s="102"/>
      <c r="D311" s="103"/>
      <c r="E311" s="103"/>
      <c r="F311" s="103"/>
      <c r="G311" s="103"/>
      <c r="H311" s="103"/>
      <c r="I311" s="5"/>
    </row>
    <row r="312" spans="1:9" ht="15.75" customHeight="1" x14ac:dyDescent="0.2">
      <c r="A312" s="102"/>
      <c r="B312" s="102"/>
      <c r="C312" s="102"/>
      <c r="D312" s="103"/>
      <c r="E312" s="103"/>
      <c r="F312" s="103"/>
      <c r="G312" s="103"/>
      <c r="H312" s="103"/>
      <c r="I312" s="5"/>
    </row>
    <row r="313" spans="1:9" ht="15.75" customHeight="1" x14ac:dyDescent="0.2">
      <c r="A313" s="102"/>
      <c r="B313" s="102"/>
      <c r="C313" s="102"/>
      <c r="D313" s="103"/>
      <c r="E313" s="103"/>
      <c r="F313" s="103"/>
      <c r="G313" s="103"/>
      <c r="H313" s="103"/>
      <c r="I313" s="5"/>
    </row>
    <row r="314" spans="1:9" ht="15.75" customHeight="1" x14ac:dyDescent="0.2">
      <c r="A314" s="102"/>
      <c r="B314" s="102"/>
      <c r="C314" s="102"/>
      <c r="D314" s="103"/>
      <c r="E314" s="103"/>
      <c r="F314" s="103"/>
      <c r="G314" s="103"/>
      <c r="H314" s="103"/>
      <c r="I314" s="5"/>
    </row>
    <row r="315" spans="1:9" ht="15.75" customHeight="1" x14ac:dyDescent="0.2">
      <c r="A315" s="102"/>
      <c r="B315" s="102"/>
      <c r="C315" s="102"/>
      <c r="D315" s="103"/>
      <c r="E315" s="103"/>
      <c r="F315" s="103"/>
      <c r="G315" s="103"/>
      <c r="H315" s="103"/>
      <c r="I315" s="5"/>
    </row>
    <row r="316" spans="1:9" ht="15.75" customHeight="1" x14ac:dyDescent="0.2">
      <c r="A316" s="102"/>
      <c r="B316" s="102"/>
      <c r="C316" s="102"/>
      <c r="D316" s="103"/>
      <c r="E316" s="103"/>
      <c r="F316" s="103"/>
      <c r="G316" s="103"/>
      <c r="H316" s="103"/>
      <c r="I316" s="5"/>
    </row>
    <row r="317" spans="1:9" ht="15.75" customHeight="1" x14ac:dyDescent="0.2">
      <c r="A317" s="102"/>
      <c r="B317" s="102"/>
      <c r="C317" s="102"/>
      <c r="D317" s="103"/>
      <c r="E317" s="103"/>
      <c r="F317" s="103"/>
      <c r="G317" s="103"/>
      <c r="H317" s="103"/>
      <c r="I317" s="5"/>
    </row>
    <row r="318" spans="1:9" ht="15.75" customHeight="1" x14ac:dyDescent="0.2">
      <c r="A318" s="102"/>
      <c r="B318" s="102"/>
      <c r="C318" s="102"/>
      <c r="D318" s="103"/>
      <c r="E318" s="103"/>
      <c r="F318" s="103"/>
      <c r="G318" s="103"/>
      <c r="H318" s="103"/>
      <c r="I318" s="5"/>
    </row>
    <row r="319" spans="1:9" ht="15.75" customHeight="1" x14ac:dyDescent="0.2">
      <c r="A319" s="102"/>
      <c r="B319" s="102"/>
      <c r="C319" s="102"/>
      <c r="D319" s="103"/>
      <c r="E319" s="103"/>
      <c r="F319" s="103"/>
      <c r="G319" s="103"/>
      <c r="H319" s="103"/>
      <c r="I319" s="5"/>
    </row>
    <row r="320" spans="1:9" ht="15.75" customHeight="1" x14ac:dyDescent="0.2">
      <c r="A320" s="102"/>
      <c r="B320" s="102"/>
      <c r="C320" s="102"/>
      <c r="D320" s="103"/>
      <c r="E320" s="103"/>
      <c r="F320" s="103"/>
      <c r="G320" s="103"/>
      <c r="H320" s="103"/>
      <c r="I320" s="5"/>
    </row>
    <row r="321" spans="1:9" ht="15.75" customHeight="1" x14ac:dyDescent="0.2">
      <c r="A321" s="102"/>
      <c r="B321" s="102"/>
      <c r="C321" s="102"/>
      <c r="D321" s="103"/>
      <c r="E321" s="103"/>
      <c r="F321" s="103"/>
      <c r="G321" s="103"/>
      <c r="H321" s="103"/>
      <c r="I321" s="5"/>
    </row>
    <row r="322" spans="1:9" ht="15.75" customHeight="1" x14ac:dyDescent="0.2">
      <c r="A322" s="102"/>
      <c r="B322" s="102"/>
      <c r="C322" s="102"/>
      <c r="D322" s="103"/>
      <c r="E322" s="103"/>
      <c r="F322" s="103"/>
      <c r="G322" s="103"/>
      <c r="H322" s="103"/>
      <c r="I322" s="5"/>
    </row>
    <row r="323" spans="1:9" ht="15.75" customHeight="1" x14ac:dyDescent="0.2">
      <c r="A323" s="102"/>
      <c r="B323" s="102"/>
      <c r="C323" s="102"/>
      <c r="D323" s="103"/>
      <c r="E323" s="103"/>
      <c r="F323" s="103"/>
      <c r="G323" s="103"/>
      <c r="H323" s="103"/>
      <c r="I323" s="5"/>
    </row>
    <row r="324" spans="1:9" ht="15.75" customHeight="1" x14ac:dyDescent="0.2">
      <c r="A324" s="102"/>
      <c r="B324" s="102"/>
      <c r="C324" s="102"/>
      <c r="D324" s="103"/>
      <c r="E324" s="103"/>
      <c r="F324" s="103"/>
      <c r="G324" s="103"/>
      <c r="H324" s="103"/>
      <c r="I324" s="5"/>
    </row>
    <row r="325" spans="1:9" ht="15.75" customHeight="1" x14ac:dyDescent="0.2">
      <c r="A325" s="102"/>
      <c r="B325" s="102"/>
      <c r="C325" s="102"/>
      <c r="D325" s="103"/>
      <c r="E325" s="103"/>
      <c r="F325" s="103"/>
      <c r="G325" s="103"/>
      <c r="H325" s="103"/>
      <c r="I325" s="5"/>
    </row>
    <row r="326" spans="1:9" ht="15.75" customHeight="1" x14ac:dyDescent="0.2">
      <c r="A326" s="102"/>
      <c r="B326" s="102"/>
      <c r="C326" s="102"/>
      <c r="D326" s="103"/>
      <c r="E326" s="103"/>
      <c r="F326" s="103"/>
      <c r="G326" s="103"/>
      <c r="H326" s="103"/>
      <c r="I326" s="5"/>
    </row>
    <row r="327" spans="1:9" ht="15.75" customHeight="1" x14ac:dyDescent="0.2">
      <c r="A327" s="102"/>
      <c r="B327" s="102"/>
      <c r="C327" s="102"/>
      <c r="D327" s="103"/>
      <c r="E327" s="103"/>
      <c r="F327" s="103"/>
      <c r="G327" s="103"/>
      <c r="H327" s="103"/>
      <c r="I327" s="5"/>
    </row>
    <row r="328" spans="1:9" ht="15.75" customHeight="1" x14ac:dyDescent="0.2">
      <c r="A328" s="102"/>
      <c r="B328" s="102"/>
      <c r="C328" s="102"/>
      <c r="D328" s="103"/>
      <c r="E328" s="103"/>
      <c r="F328" s="103"/>
      <c r="G328" s="103"/>
      <c r="H328" s="103"/>
      <c r="I328" s="5"/>
    </row>
    <row r="329" spans="1:9" ht="15.75" customHeight="1" x14ac:dyDescent="0.2">
      <c r="A329" s="102"/>
      <c r="B329" s="102"/>
      <c r="C329" s="102"/>
      <c r="D329" s="103"/>
      <c r="E329" s="103"/>
      <c r="F329" s="103"/>
      <c r="G329" s="103"/>
      <c r="H329" s="103"/>
      <c r="I329" s="5"/>
    </row>
    <row r="330" spans="1:9" ht="15.75" customHeight="1" x14ac:dyDescent="0.2">
      <c r="A330" s="102"/>
      <c r="B330" s="102"/>
      <c r="C330" s="102"/>
      <c r="D330" s="103"/>
      <c r="E330" s="103"/>
      <c r="F330" s="103"/>
      <c r="G330" s="103"/>
      <c r="H330" s="103"/>
      <c r="I330" s="5"/>
    </row>
    <row r="331" spans="1:9" ht="15.75" customHeight="1" x14ac:dyDescent="0.2">
      <c r="A331" s="102"/>
      <c r="B331" s="102"/>
      <c r="C331" s="102"/>
      <c r="D331" s="103"/>
      <c r="E331" s="103"/>
      <c r="F331" s="103"/>
      <c r="G331" s="103"/>
      <c r="H331" s="103"/>
      <c r="I331" s="5"/>
    </row>
    <row r="332" spans="1:9" ht="15.75" customHeight="1" x14ac:dyDescent="0.2">
      <c r="A332" s="102"/>
      <c r="B332" s="102"/>
      <c r="C332" s="102"/>
      <c r="D332" s="103"/>
      <c r="E332" s="103"/>
      <c r="F332" s="103"/>
      <c r="G332" s="103"/>
      <c r="H332" s="103"/>
      <c r="I332" s="5"/>
    </row>
    <row r="333" spans="1:9" ht="15.75" customHeight="1" x14ac:dyDescent="0.2">
      <c r="A333" s="102"/>
      <c r="B333" s="102"/>
      <c r="C333" s="102"/>
      <c r="D333" s="103"/>
      <c r="E333" s="103"/>
      <c r="F333" s="103"/>
      <c r="G333" s="103"/>
      <c r="H333" s="103"/>
      <c r="I333" s="5"/>
    </row>
    <row r="334" spans="1:9" ht="15.75" customHeight="1" x14ac:dyDescent="0.2">
      <c r="A334" s="102"/>
      <c r="B334" s="102"/>
      <c r="C334" s="102"/>
      <c r="D334" s="103"/>
      <c r="E334" s="103"/>
      <c r="F334" s="103"/>
      <c r="G334" s="103"/>
      <c r="H334" s="103"/>
      <c r="I334" s="5"/>
    </row>
    <row r="335" spans="1:9" ht="15.75" customHeight="1" x14ac:dyDescent="0.2">
      <c r="A335" s="102"/>
      <c r="B335" s="102"/>
      <c r="C335" s="102"/>
      <c r="D335" s="103"/>
      <c r="E335" s="103"/>
      <c r="F335" s="103"/>
      <c r="G335" s="103"/>
      <c r="H335" s="103"/>
      <c r="I335" s="5"/>
    </row>
    <row r="336" spans="1:9" ht="15.75" customHeight="1" x14ac:dyDescent="0.2">
      <c r="A336" s="102"/>
      <c r="B336" s="102"/>
      <c r="C336" s="102"/>
      <c r="D336" s="103"/>
      <c r="E336" s="103"/>
      <c r="F336" s="103"/>
      <c r="G336" s="103"/>
      <c r="H336" s="103"/>
      <c r="I336" s="5"/>
    </row>
    <row r="337" spans="1:9" ht="15.75" customHeight="1" x14ac:dyDescent="0.2">
      <c r="A337" s="102"/>
      <c r="B337" s="102"/>
      <c r="C337" s="102"/>
      <c r="D337" s="103"/>
      <c r="E337" s="103"/>
      <c r="F337" s="103"/>
      <c r="G337" s="103"/>
      <c r="H337" s="103"/>
      <c r="I337" s="5"/>
    </row>
    <row r="338" spans="1:9" ht="15.75" customHeight="1" x14ac:dyDescent="0.2">
      <c r="A338" s="102"/>
      <c r="B338" s="102"/>
      <c r="C338" s="102"/>
      <c r="D338" s="103"/>
      <c r="E338" s="103"/>
      <c r="F338" s="103"/>
      <c r="G338" s="103"/>
      <c r="H338" s="103"/>
      <c r="I338" s="5"/>
    </row>
    <row r="339" spans="1:9" ht="15.75" customHeight="1" x14ac:dyDescent="0.2">
      <c r="A339" s="102"/>
      <c r="B339" s="102"/>
      <c r="C339" s="102"/>
      <c r="D339" s="103"/>
      <c r="E339" s="103"/>
      <c r="F339" s="103"/>
      <c r="G339" s="103"/>
      <c r="H339" s="103"/>
      <c r="I339" s="5"/>
    </row>
    <row r="340" spans="1:9" ht="15.75" customHeight="1" x14ac:dyDescent="0.2">
      <c r="A340" s="102"/>
      <c r="B340" s="102"/>
      <c r="C340" s="102"/>
      <c r="D340" s="103"/>
      <c r="E340" s="103"/>
      <c r="F340" s="103"/>
      <c r="G340" s="103"/>
      <c r="H340" s="103"/>
      <c r="I340" s="5"/>
    </row>
    <row r="341" spans="1:9" ht="15.75" customHeight="1" x14ac:dyDescent="0.2">
      <c r="A341" s="102"/>
      <c r="B341" s="102"/>
      <c r="C341" s="102"/>
      <c r="D341" s="103"/>
      <c r="E341" s="103"/>
      <c r="F341" s="103"/>
      <c r="G341" s="103"/>
      <c r="H341" s="103"/>
      <c r="I341" s="5"/>
    </row>
    <row r="342" spans="1:9" ht="15.75" customHeight="1" x14ac:dyDescent="0.2">
      <c r="A342" s="102"/>
      <c r="B342" s="102"/>
      <c r="C342" s="102"/>
      <c r="D342" s="103"/>
      <c r="E342" s="103"/>
      <c r="F342" s="103"/>
      <c r="G342" s="103"/>
      <c r="H342" s="103"/>
      <c r="I342" s="5"/>
    </row>
    <row r="343" spans="1:9" ht="15.75" customHeight="1" x14ac:dyDescent="0.2">
      <c r="A343" s="102"/>
      <c r="B343" s="102"/>
      <c r="C343" s="102"/>
      <c r="D343" s="103"/>
      <c r="E343" s="103"/>
      <c r="F343" s="103"/>
      <c r="G343" s="103"/>
      <c r="H343" s="103"/>
      <c r="I343" s="5"/>
    </row>
    <row r="344" spans="1:9" ht="15.75" customHeight="1" x14ac:dyDescent="0.2">
      <c r="A344" s="102"/>
      <c r="B344" s="102"/>
      <c r="C344" s="102"/>
      <c r="D344" s="103"/>
      <c r="E344" s="103"/>
      <c r="F344" s="103"/>
      <c r="G344" s="103"/>
      <c r="H344" s="103"/>
      <c r="I344" s="5"/>
    </row>
    <row r="345" spans="1:9" ht="15.75" customHeight="1" x14ac:dyDescent="0.2">
      <c r="A345" s="102"/>
      <c r="B345" s="102"/>
      <c r="C345" s="102"/>
      <c r="D345" s="103"/>
      <c r="E345" s="103"/>
      <c r="F345" s="103"/>
      <c r="G345" s="103"/>
      <c r="H345" s="103"/>
      <c r="I345" s="5"/>
    </row>
    <row r="346" spans="1:9" ht="15.75" customHeight="1" x14ac:dyDescent="0.2">
      <c r="A346" s="102"/>
      <c r="B346" s="102"/>
      <c r="C346" s="102"/>
      <c r="D346" s="103"/>
      <c r="E346" s="103"/>
      <c r="F346" s="103"/>
      <c r="G346" s="103"/>
      <c r="H346" s="103"/>
      <c r="I346" s="5"/>
    </row>
    <row r="347" spans="1:9" ht="15.75" customHeight="1" x14ac:dyDescent="0.2">
      <c r="A347" s="102"/>
      <c r="B347" s="102"/>
      <c r="C347" s="102"/>
      <c r="D347" s="103"/>
      <c r="E347" s="103"/>
      <c r="F347" s="103"/>
      <c r="G347" s="103"/>
      <c r="H347" s="103"/>
      <c r="I347" s="5"/>
    </row>
    <row r="348" spans="1:9" ht="15.75" customHeight="1" x14ac:dyDescent="0.2">
      <c r="A348" s="102"/>
      <c r="B348" s="102"/>
      <c r="C348" s="102"/>
      <c r="D348" s="103"/>
      <c r="E348" s="103"/>
      <c r="F348" s="103"/>
      <c r="G348" s="103"/>
      <c r="H348" s="103"/>
      <c r="I348" s="5"/>
    </row>
    <row r="349" spans="1:9" ht="15.75" customHeight="1" x14ac:dyDescent="0.2">
      <c r="A349" s="102"/>
      <c r="B349" s="102"/>
      <c r="C349" s="102"/>
      <c r="D349" s="103"/>
      <c r="E349" s="103"/>
      <c r="F349" s="103"/>
      <c r="G349" s="103"/>
      <c r="H349" s="103"/>
      <c r="I349" s="5"/>
    </row>
    <row r="350" spans="1:9" ht="15.75" customHeight="1" x14ac:dyDescent="0.2">
      <c r="A350" s="102"/>
      <c r="B350" s="102"/>
      <c r="C350" s="102"/>
      <c r="D350" s="103"/>
      <c r="E350" s="103"/>
      <c r="F350" s="103"/>
      <c r="G350" s="103"/>
      <c r="H350" s="103"/>
      <c r="I350" s="5"/>
    </row>
    <row r="351" spans="1:9" ht="15.75" customHeight="1" x14ac:dyDescent="0.2">
      <c r="A351" s="102"/>
      <c r="B351" s="102"/>
      <c r="C351" s="102"/>
      <c r="D351" s="103"/>
      <c r="E351" s="103"/>
      <c r="F351" s="103"/>
      <c r="G351" s="103"/>
      <c r="H351" s="103"/>
      <c r="I351" s="5"/>
    </row>
    <row r="352" spans="1:9" ht="15.75" customHeight="1" x14ac:dyDescent="0.2">
      <c r="A352" s="102"/>
      <c r="B352" s="102"/>
      <c r="C352" s="102"/>
      <c r="D352" s="103"/>
      <c r="E352" s="103"/>
      <c r="F352" s="103"/>
      <c r="G352" s="103"/>
      <c r="H352" s="103"/>
      <c r="I352" s="5"/>
    </row>
    <row r="353" spans="1:9" ht="15.75" customHeight="1" x14ac:dyDescent="0.2">
      <c r="A353" s="102"/>
      <c r="B353" s="102"/>
      <c r="C353" s="102"/>
      <c r="D353" s="103"/>
      <c r="E353" s="103"/>
      <c r="F353" s="103"/>
      <c r="G353" s="103"/>
      <c r="H353" s="103"/>
      <c r="I353" s="5"/>
    </row>
    <row r="354" spans="1:9" ht="15.75" customHeight="1" x14ac:dyDescent="0.2">
      <c r="A354" s="102"/>
      <c r="B354" s="102"/>
      <c r="C354" s="102"/>
      <c r="D354" s="103"/>
      <c r="E354" s="103"/>
      <c r="F354" s="103"/>
      <c r="G354" s="103"/>
      <c r="H354" s="103"/>
      <c r="I354" s="5"/>
    </row>
    <row r="355" spans="1:9" ht="15.75" customHeight="1" x14ac:dyDescent="0.2">
      <c r="A355" s="102"/>
      <c r="B355" s="102"/>
      <c r="C355" s="102"/>
      <c r="D355" s="103"/>
      <c r="E355" s="103"/>
      <c r="F355" s="103"/>
      <c r="G355" s="103"/>
      <c r="H355" s="103"/>
      <c r="I355" s="5"/>
    </row>
    <row r="356" spans="1:9" ht="15.75" customHeight="1" x14ac:dyDescent="0.2">
      <c r="A356" s="102"/>
      <c r="B356" s="102"/>
      <c r="C356" s="102"/>
      <c r="D356" s="103"/>
      <c r="E356" s="103"/>
      <c r="F356" s="103"/>
      <c r="G356" s="103"/>
      <c r="H356" s="103"/>
      <c r="I356" s="5"/>
    </row>
    <row r="357" spans="1:9" ht="15.75" customHeight="1" x14ac:dyDescent="0.2">
      <c r="A357" s="102"/>
      <c r="B357" s="102"/>
      <c r="C357" s="102"/>
      <c r="D357" s="103"/>
      <c r="E357" s="103"/>
      <c r="F357" s="103"/>
      <c r="G357" s="103"/>
      <c r="H357" s="103"/>
      <c r="I357" s="5"/>
    </row>
    <row r="358" spans="1:9" ht="15.75" customHeight="1" x14ac:dyDescent="0.2">
      <c r="A358" s="102"/>
      <c r="B358" s="102"/>
      <c r="C358" s="102"/>
      <c r="D358" s="103"/>
      <c r="E358" s="103"/>
      <c r="F358" s="103"/>
      <c r="G358" s="103"/>
      <c r="H358" s="103"/>
      <c r="I358" s="5"/>
    </row>
    <row r="359" spans="1:9" ht="15.75" customHeight="1" x14ac:dyDescent="0.2">
      <c r="A359" s="102"/>
      <c r="B359" s="102"/>
      <c r="C359" s="102"/>
      <c r="D359" s="103"/>
      <c r="E359" s="103"/>
      <c r="F359" s="103"/>
      <c r="G359" s="103"/>
      <c r="H359" s="103"/>
      <c r="I359" s="5"/>
    </row>
    <row r="360" spans="1:9" ht="15.75" customHeight="1" x14ac:dyDescent="0.2">
      <c r="A360" s="102"/>
      <c r="B360" s="102"/>
      <c r="C360" s="102"/>
      <c r="D360" s="103"/>
      <c r="E360" s="103"/>
      <c r="F360" s="103"/>
      <c r="G360" s="103"/>
      <c r="H360" s="103"/>
      <c r="I360" s="5"/>
    </row>
    <row r="361" spans="1:9" ht="15.75" customHeight="1" x14ac:dyDescent="0.2">
      <c r="A361" s="102"/>
      <c r="B361" s="102"/>
      <c r="C361" s="102"/>
      <c r="D361" s="103"/>
      <c r="E361" s="103"/>
      <c r="F361" s="103"/>
      <c r="G361" s="103"/>
      <c r="H361" s="103"/>
      <c r="I361" s="5"/>
    </row>
    <row r="362" spans="1:9" ht="15.75" customHeight="1" x14ac:dyDescent="0.2">
      <c r="A362" s="102"/>
      <c r="B362" s="102"/>
      <c r="C362" s="102"/>
      <c r="D362" s="103"/>
      <c r="E362" s="103"/>
      <c r="F362" s="103"/>
      <c r="G362" s="103"/>
      <c r="H362" s="103"/>
      <c r="I362" s="5"/>
    </row>
    <row r="363" spans="1:9" ht="15.75" customHeight="1" x14ac:dyDescent="0.2">
      <c r="A363" s="102"/>
      <c r="B363" s="102"/>
      <c r="C363" s="102"/>
      <c r="D363" s="103"/>
      <c r="E363" s="103"/>
      <c r="F363" s="103"/>
      <c r="G363" s="103"/>
      <c r="H363" s="103"/>
      <c r="I363" s="5"/>
    </row>
    <row r="364" spans="1:9" ht="15.75" customHeight="1" x14ac:dyDescent="0.2">
      <c r="A364" s="102"/>
      <c r="B364" s="102"/>
      <c r="C364" s="102"/>
      <c r="D364" s="103"/>
      <c r="E364" s="103"/>
      <c r="F364" s="103"/>
      <c r="G364" s="103"/>
      <c r="H364" s="103"/>
      <c r="I364" s="5"/>
    </row>
    <row r="365" spans="1:9" ht="15.75" customHeight="1" x14ac:dyDescent="0.2">
      <c r="A365" s="102"/>
      <c r="B365" s="102"/>
      <c r="C365" s="102"/>
      <c r="D365" s="103"/>
      <c r="E365" s="103"/>
      <c r="F365" s="103"/>
      <c r="G365" s="103"/>
      <c r="H365" s="103"/>
      <c r="I365" s="5"/>
    </row>
    <row r="366" spans="1:9" ht="15.75" customHeight="1" x14ac:dyDescent="0.2">
      <c r="A366" s="102"/>
      <c r="B366" s="102"/>
      <c r="C366" s="102"/>
      <c r="D366" s="103"/>
      <c r="E366" s="103"/>
      <c r="F366" s="103"/>
      <c r="G366" s="103"/>
      <c r="H366" s="103"/>
      <c r="I366" s="5"/>
    </row>
    <row r="367" spans="1:9" ht="15.75" customHeight="1" x14ac:dyDescent="0.2">
      <c r="A367" s="102"/>
      <c r="B367" s="102"/>
      <c r="C367" s="102"/>
      <c r="D367" s="103"/>
      <c r="E367" s="103"/>
      <c r="F367" s="103"/>
      <c r="G367" s="103"/>
      <c r="H367" s="103"/>
      <c r="I367" s="5"/>
    </row>
    <row r="368" spans="1:9" ht="15.75" customHeight="1" x14ac:dyDescent="0.2">
      <c r="A368" s="102"/>
      <c r="B368" s="102"/>
      <c r="C368" s="102"/>
      <c r="D368" s="103"/>
      <c r="E368" s="103"/>
      <c r="F368" s="103"/>
      <c r="G368" s="103"/>
      <c r="H368" s="103"/>
      <c r="I368" s="5"/>
    </row>
    <row r="369" spans="1:9" ht="15.75" customHeight="1" x14ac:dyDescent="0.2">
      <c r="A369" s="102"/>
      <c r="B369" s="102"/>
      <c r="C369" s="102"/>
      <c r="D369" s="103"/>
      <c r="E369" s="103"/>
      <c r="F369" s="103"/>
      <c r="G369" s="103"/>
      <c r="H369" s="103"/>
      <c r="I369" s="5"/>
    </row>
    <row r="370" spans="1:9" ht="15.75" customHeight="1" x14ac:dyDescent="0.2">
      <c r="A370" s="102"/>
      <c r="B370" s="102"/>
      <c r="C370" s="102"/>
      <c r="D370" s="103"/>
      <c r="E370" s="103"/>
      <c r="F370" s="103"/>
      <c r="G370" s="103"/>
      <c r="H370" s="103"/>
      <c r="I370" s="5"/>
    </row>
    <row r="371" spans="1:9" ht="15.75" customHeight="1" x14ac:dyDescent="0.2">
      <c r="A371" s="102"/>
      <c r="B371" s="102"/>
      <c r="C371" s="102"/>
      <c r="D371" s="103"/>
      <c r="E371" s="103"/>
      <c r="F371" s="103"/>
      <c r="G371" s="103"/>
      <c r="H371" s="103"/>
      <c r="I371" s="5"/>
    </row>
    <row r="372" spans="1:9" ht="15.75" customHeight="1" x14ac:dyDescent="0.2">
      <c r="A372" s="102"/>
      <c r="B372" s="102"/>
      <c r="C372" s="102"/>
      <c r="D372" s="103"/>
      <c r="E372" s="103"/>
      <c r="F372" s="103"/>
      <c r="G372" s="103"/>
      <c r="H372" s="103"/>
      <c r="I372" s="5"/>
    </row>
    <row r="373" spans="1:9" ht="15.75" customHeight="1" x14ac:dyDescent="0.2">
      <c r="A373" s="102"/>
      <c r="B373" s="102"/>
      <c r="C373" s="102"/>
      <c r="D373" s="103"/>
      <c r="E373" s="103"/>
      <c r="F373" s="103"/>
      <c r="G373" s="103"/>
      <c r="H373" s="103"/>
      <c r="I373" s="5"/>
    </row>
    <row r="374" spans="1:9" ht="15.75" customHeight="1" x14ac:dyDescent="0.2">
      <c r="A374" s="102"/>
      <c r="B374" s="102"/>
      <c r="C374" s="102"/>
      <c r="D374" s="103"/>
      <c r="E374" s="103"/>
      <c r="F374" s="103"/>
      <c r="G374" s="103"/>
      <c r="H374" s="103"/>
      <c r="I374" s="5"/>
    </row>
    <row r="375" spans="1:9" ht="15.75" customHeight="1" x14ac:dyDescent="0.2">
      <c r="A375" s="102"/>
      <c r="B375" s="102"/>
      <c r="C375" s="102"/>
      <c r="D375" s="103"/>
      <c r="E375" s="103"/>
      <c r="F375" s="103"/>
      <c r="G375" s="103"/>
      <c r="H375" s="103"/>
      <c r="I375" s="5"/>
    </row>
    <row r="376" spans="1:9" ht="15.75" customHeight="1" x14ac:dyDescent="0.2">
      <c r="A376" s="102"/>
      <c r="B376" s="102"/>
      <c r="C376" s="102"/>
      <c r="D376" s="103"/>
      <c r="E376" s="103"/>
      <c r="F376" s="103"/>
      <c r="G376" s="103"/>
      <c r="H376" s="103"/>
      <c r="I376" s="5"/>
    </row>
    <row r="377" spans="1:9" ht="15.75" customHeight="1" x14ac:dyDescent="0.2">
      <c r="A377" s="102"/>
      <c r="B377" s="102"/>
      <c r="C377" s="102"/>
      <c r="D377" s="103"/>
      <c r="E377" s="103"/>
      <c r="F377" s="103"/>
      <c r="G377" s="103"/>
      <c r="H377" s="103"/>
      <c r="I377" s="5"/>
    </row>
    <row r="378" spans="1:9" ht="15.75" customHeight="1" x14ac:dyDescent="0.2">
      <c r="A378" s="102"/>
      <c r="B378" s="102"/>
      <c r="C378" s="102"/>
      <c r="D378" s="103"/>
      <c r="E378" s="103"/>
      <c r="F378" s="103"/>
      <c r="G378" s="103"/>
      <c r="H378" s="103"/>
      <c r="I378" s="5"/>
    </row>
    <row r="379" spans="1:9" ht="15.75" customHeight="1" x14ac:dyDescent="0.2">
      <c r="A379" s="102"/>
      <c r="B379" s="102"/>
      <c r="C379" s="102"/>
      <c r="D379" s="103"/>
      <c r="E379" s="103"/>
      <c r="F379" s="103"/>
      <c r="G379" s="103"/>
      <c r="H379" s="103"/>
      <c r="I379" s="5"/>
    </row>
    <row r="380" spans="1:9" ht="15.75" customHeight="1" x14ac:dyDescent="0.2">
      <c r="A380" s="102"/>
      <c r="B380" s="102"/>
      <c r="C380" s="102"/>
      <c r="D380" s="103"/>
      <c r="E380" s="103"/>
      <c r="F380" s="103"/>
      <c r="G380" s="103"/>
      <c r="H380" s="103"/>
      <c r="I380" s="5"/>
    </row>
    <row r="381" spans="1:9" ht="15.75" customHeight="1" x14ac:dyDescent="0.2">
      <c r="A381" s="102"/>
      <c r="B381" s="102"/>
      <c r="C381" s="102"/>
      <c r="D381" s="103"/>
      <c r="E381" s="103"/>
      <c r="F381" s="103"/>
      <c r="G381" s="103"/>
      <c r="H381" s="103"/>
      <c r="I381" s="5"/>
    </row>
    <row r="382" spans="1:9" ht="15.75" customHeight="1" x14ac:dyDescent="0.2">
      <c r="A382" s="102"/>
      <c r="B382" s="102"/>
      <c r="C382" s="102"/>
      <c r="D382" s="103"/>
      <c r="E382" s="103"/>
      <c r="F382" s="103"/>
      <c r="G382" s="103"/>
      <c r="H382" s="103"/>
      <c r="I382" s="5"/>
    </row>
    <row r="383" spans="1:9" ht="15.75" customHeight="1" x14ac:dyDescent="0.2">
      <c r="A383" s="102"/>
      <c r="B383" s="102"/>
      <c r="C383" s="102"/>
      <c r="D383" s="103"/>
      <c r="E383" s="103"/>
      <c r="F383" s="103"/>
      <c r="G383" s="103"/>
      <c r="H383" s="103"/>
      <c r="I383" s="5"/>
    </row>
    <row r="384" spans="1:9" ht="15.75" customHeight="1" x14ac:dyDescent="0.2">
      <c r="A384" s="102"/>
      <c r="B384" s="102"/>
      <c r="C384" s="102"/>
      <c r="D384" s="103"/>
      <c r="E384" s="103"/>
      <c r="F384" s="103"/>
      <c r="G384" s="103"/>
      <c r="H384" s="103"/>
      <c r="I384" s="5"/>
    </row>
    <row r="385" spans="1:9" ht="15.75" customHeight="1" x14ac:dyDescent="0.2">
      <c r="A385" s="102"/>
      <c r="B385" s="102"/>
      <c r="C385" s="102"/>
      <c r="D385" s="103"/>
      <c r="E385" s="103"/>
      <c r="F385" s="103"/>
      <c r="G385" s="103"/>
      <c r="H385" s="103"/>
      <c r="I385" s="5"/>
    </row>
    <row r="386" spans="1:9" ht="15.75" customHeight="1" x14ac:dyDescent="0.2">
      <c r="A386" s="102"/>
      <c r="B386" s="102"/>
      <c r="C386" s="102"/>
      <c r="D386" s="103"/>
      <c r="E386" s="103"/>
      <c r="F386" s="103"/>
      <c r="G386" s="103"/>
      <c r="H386" s="103"/>
      <c r="I386" s="5"/>
    </row>
    <row r="387" spans="1:9" ht="15.75" customHeight="1" x14ac:dyDescent="0.2">
      <c r="A387" s="102"/>
      <c r="B387" s="102"/>
      <c r="C387" s="102"/>
      <c r="D387" s="103"/>
      <c r="E387" s="103"/>
      <c r="F387" s="103"/>
      <c r="G387" s="103"/>
      <c r="H387" s="103"/>
      <c r="I387" s="5"/>
    </row>
    <row r="388" spans="1:9" ht="15.75" customHeight="1" x14ac:dyDescent="0.2">
      <c r="A388" s="102"/>
      <c r="B388" s="102"/>
      <c r="C388" s="102"/>
      <c r="D388" s="103"/>
      <c r="E388" s="103"/>
      <c r="F388" s="103"/>
      <c r="G388" s="103"/>
      <c r="H388" s="103"/>
      <c r="I388" s="5"/>
    </row>
    <row r="389" spans="1:9" ht="15.75" customHeight="1" x14ac:dyDescent="0.2">
      <c r="A389" s="102"/>
      <c r="B389" s="102"/>
      <c r="C389" s="102"/>
      <c r="D389" s="103"/>
      <c r="E389" s="103"/>
      <c r="F389" s="103"/>
      <c r="G389" s="103"/>
      <c r="H389" s="103"/>
      <c r="I389" s="5"/>
    </row>
    <row r="390" spans="1:9" ht="15.75" customHeight="1" x14ac:dyDescent="0.2">
      <c r="A390" s="102"/>
      <c r="B390" s="102"/>
      <c r="C390" s="102"/>
      <c r="D390" s="103"/>
      <c r="E390" s="103"/>
      <c r="F390" s="103"/>
      <c r="G390" s="103"/>
      <c r="H390" s="103"/>
      <c r="I390" s="5"/>
    </row>
    <row r="391" spans="1:9" ht="15.75" customHeight="1" x14ac:dyDescent="0.2">
      <c r="A391" s="102"/>
      <c r="B391" s="102"/>
      <c r="C391" s="102"/>
      <c r="D391" s="103"/>
      <c r="E391" s="103"/>
      <c r="F391" s="103"/>
      <c r="G391" s="103"/>
      <c r="H391" s="103"/>
      <c r="I391" s="5"/>
    </row>
    <row r="392" spans="1:9" ht="15.75" customHeight="1" x14ac:dyDescent="0.2">
      <c r="A392" s="102"/>
      <c r="B392" s="102"/>
      <c r="C392" s="102"/>
      <c r="D392" s="103"/>
      <c r="E392" s="103"/>
      <c r="F392" s="103"/>
      <c r="G392" s="103"/>
      <c r="H392" s="103"/>
      <c r="I392" s="5"/>
    </row>
    <row r="393" spans="1:9" ht="15.75" customHeight="1" x14ac:dyDescent="0.2">
      <c r="A393" s="102"/>
      <c r="B393" s="102"/>
      <c r="C393" s="102"/>
      <c r="D393" s="103"/>
      <c r="E393" s="103"/>
      <c r="F393" s="103"/>
      <c r="G393" s="103"/>
      <c r="H393" s="103"/>
      <c r="I393" s="5"/>
    </row>
    <row r="394" spans="1:9" ht="15.75" customHeight="1" x14ac:dyDescent="0.2">
      <c r="A394" s="102"/>
      <c r="B394" s="102"/>
      <c r="C394" s="102"/>
      <c r="D394" s="103"/>
      <c r="E394" s="103"/>
      <c r="F394" s="103"/>
      <c r="G394" s="103"/>
      <c r="H394" s="103"/>
      <c r="I394" s="5"/>
    </row>
    <row r="395" spans="1:9" ht="15.75" customHeight="1" x14ac:dyDescent="0.2">
      <c r="A395" s="102"/>
      <c r="B395" s="102"/>
      <c r="C395" s="102"/>
      <c r="D395" s="103"/>
      <c r="E395" s="103"/>
      <c r="F395" s="103"/>
      <c r="G395" s="103"/>
      <c r="H395" s="103"/>
      <c r="I395" s="5"/>
    </row>
    <row r="396" spans="1:9" ht="15.75" customHeight="1" x14ac:dyDescent="0.2">
      <c r="A396" s="102"/>
      <c r="B396" s="102"/>
      <c r="C396" s="102"/>
      <c r="D396" s="103"/>
      <c r="E396" s="103"/>
      <c r="F396" s="103"/>
      <c r="G396" s="103"/>
      <c r="H396" s="103"/>
      <c r="I396" s="5"/>
    </row>
    <row r="397" spans="1:9" ht="15.75" customHeight="1" x14ac:dyDescent="0.2">
      <c r="A397" s="102"/>
      <c r="B397" s="102"/>
      <c r="C397" s="102"/>
      <c r="D397" s="103"/>
      <c r="E397" s="103"/>
      <c r="F397" s="103"/>
      <c r="G397" s="103"/>
      <c r="H397" s="103"/>
      <c r="I397" s="5"/>
    </row>
    <row r="398" spans="1:9" ht="15.75" customHeight="1" x14ac:dyDescent="0.2">
      <c r="A398" s="102"/>
      <c r="B398" s="102"/>
      <c r="C398" s="102"/>
      <c r="D398" s="103"/>
      <c r="E398" s="103"/>
      <c r="F398" s="103"/>
      <c r="G398" s="103"/>
      <c r="H398" s="103"/>
      <c r="I398" s="5"/>
    </row>
    <row r="399" spans="1:9" ht="15.75" customHeight="1" x14ac:dyDescent="0.2">
      <c r="A399" s="102"/>
      <c r="B399" s="102"/>
      <c r="C399" s="102"/>
      <c r="D399" s="103"/>
      <c r="E399" s="103"/>
      <c r="F399" s="103"/>
      <c r="G399" s="103"/>
      <c r="H399" s="103"/>
      <c r="I399" s="5"/>
    </row>
    <row r="400" spans="1:9" ht="15.75" customHeight="1" x14ac:dyDescent="0.2">
      <c r="A400" s="102"/>
      <c r="B400" s="102"/>
      <c r="C400" s="102"/>
      <c r="D400" s="103"/>
      <c r="E400" s="103"/>
      <c r="F400" s="103"/>
      <c r="G400" s="103"/>
      <c r="H400" s="103"/>
      <c r="I400" s="5"/>
    </row>
    <row r="401" spans="1:9" ht="15.75" customHeight="1" x14ac:dyDescent="0.2">
      <c r="A401" s="102"/>
      <c r="B401" s="102"/>
      <c r="C401" s="102"/>
      <c r="D401" s="103"/>
      <c r="E401" s="103"/>
      <c r="F401" s="103"/>
      <c r="G401" s="103"/>
      <c r="H401" s="103"/>
      <c r="I401" s="5"/>
    </row>
    <row r="402" spans="1:9" ht="15.75" customHeight="1" x14ac:dyDescent="0.2">
      <c r="A402" s="102"/>
      <c r="B402" s="102"/>
      <c r="C402" s="102"/>
      <c r="D402" s="103"/>
      <c r="E402" s="103"/>
      <c r="F402" s="103"/>
      <c r="G402" s="103"/>
      <c r="H402" s="103"/>
      <c r="I402" s="5"/>
    </row>
    <row r="403" spans="1:9" ht="15.75" customHeight="1" x14ac:dyDescent="0.2">
      <c r="A403" s="102"/>
      <c r="B403" s="102"/>
      <c r="C403" s="102"/>
      <c r="D403" s="103"/>
      <c r="E403" s="103"/>
      <c r="F403" s="103"/>
      <c r="G403" s="103"/>
      <c r="H403" s="103"/>
      <c r="I403" s="5"/>
    </row>
    <row r="404" spans="1:9" ht="15.75" customHeight="1" x14ac:dyDescent="0.2">
      <c r="A404" s="102"/>
      <c r="B404" s="102"/>
      <c r="C404" s="102"/>
      <c r="D404" s="103"/>
      <c r="E404" s="103"/>
      <c r="F404" s="103"/>
      <c r="G404" s="103"/>
      <c r="H404" s="103"/>
      <c r="I404" s="5"/>
    </row>
    <row r="405" spans="1:9" ht="15.75" customHeight="1" x14ac:dyDescent="0.2">
      <c r="A405" s="102"/>
      <c r="B405" s="102"/>
      <c r="C405" s="102"/>
      <c r="D405" s="103"/>
      <c r="E405" s="103"/>
      <c r="F405" s="103"/>
      <c r="G405" s="103"/>
      <c r="H405" s="103"/>
      <c r="I405" s="5"/>
    </row>
    <row r="406" spans="1:9" ht="15.75" customHeight="1" x14ac:dyDescent="0.2">
      <c r="A406" s="102"/>
      <c r="B406" s="102"/>
      <c r="C406" s="102"/>
      <c r="D406" s="103"/>
      <c r="E406" s="103"/>
      <c r="F406" s="103"/>
      <c r="G406" s="103"/>
      <c r="H406" s="103"/>
      <c r="I406" s="5"/>
    </row>
    <row r="407" spans="1:9" ht="15.75" customHeight="1" x14ac:dyDescent="0.2">
      <c r="A407" s="102"/>
      <c r="B407" s="102"/>
      <c r="C407" s="102"/>
      <c r="D407" s="103"/>
      <c r="E407" s="103"/>
      <c r="F407" s="103"/>
      <c r="G407" s="103"/>
      <c r="H407" s="103"/>
      <c r="I407" s="5"/>
    </row>
    <row r="408" spans="1:9" ht="15.75" customHeight="1" x14ac:dyDescent="0.2">
      <c r="A408" s="102"/>
      <c r="B408" s="102"/>
      <c r="C408" s="102"/>
      <c r="D408" s="103"/>
      <c r="E408" s="103"/>
      <c r="F408" s="103"/>
      <c r="G408" s="103"/>
      <c r="H408" s="103"/>
      <c r="I408" s="5"/>
    </row>
    <row r="409" spans="1:9" ht="15.75" customHeight="1" x14ac:dyDescent="0.2">
      <c r="A409" s="102"/>
      <c r="B409" s="102"/>
      <c r="C409" s="102"/>
      <c r="D409" s="103"/>
      <c r="E409" s="103"/>
      <c r="F409" s="103"/>
      <c r="G409" s="103"/>
      <c r="H409" s="103"/>
      <c r="I409" s="5"/>
    </row>
    <row r="410" spans="1:9" ht="15.75" customHeight="1" x14ac:dyDescent="0.2">
      <c r="A410" s="102"/>
      <c r="B410" s="102"/>
      <c r="C410" s="102"/>
      <c r="D410" s="103"/>
      <c r="E410" s="103"/>
      <c r="F410" s="103"/>
      <c r="G410" s="103"/>
      <c r="H410" s="103"/>
      <c r="I410" s="5"/>
    </row>
    <row r="411" spans="1:9" ht="15.75" customHeight="1" x14ac:dyDescent="0.2">
      <c r="A411" s="102"/>
      <c r="B411" s="102"/>
      <c r="C411" s="102"/>
      <c r="D411" s="103"/>
      <c r="E411" s="103"/>
      <c r="F411" s="103"/>
      <c r="G411" s="103"/>
      <c r="H411" s="103"/>
      <c r="I411" s="5"/>
    </row>
    <row r="412" spans="1:9" ht="15.75" customHeight="1" x14ac:dyDescent="0.2">
      <c r="A412" s="102"/>
      <c r="B412" s="102"/>
      <c r="C412" s="102"/>
      <c r="D412" s="103"/>
      <c r="E412" s="103"/>
      <c r="F412" s="103"/>
      <c r="G412" s="103"/>
      <c r="H412" s="103"/>
      <c r="I412" s="5"/>
    </row>
    <row r="413" spans="1:9" ht="15.75" customHeight="1" x14ac:dyDescent="0.2">
      <c r="A413" s="102"/>
      <c r="B413" s="102"/>
      <c r="C413" s="102"/>
      <c r="D413" s="103"/>
      <c r="E413" s="103"/>
      <c r="F413" s="103"/>
      <c r="G413" s="103"/>
      <c r="H413" s="103"/>
      <c r="I413" s="5"/>
    </row>
    <row r="414" spans="1:9" ht="15.75" customHeight="1" x14ac:dyDescent="0.2">
      <c r="A414" s="102"/>
      <c r="B414" s="102"/>
      <c r="C414" s="102"/>
      <c r="D414" s="103"/>
      <c r="E414" s="103"/>
      <c r="F414" s="103"/>
      <c r="G414" s="103"/>
      <c r="H414" s="103"/>
      <c r="I414" s="5"/>
    </row>
    <row r="415" spans="1:9" ht="15.75" customHeight="1" x14ac:dyDescent="0.2">
      <c r="A415" s="102"/>
      <c r="B415" s="102"/>
      <c r="C415" s="102"/>
      <c r="D415" s="103"/>
      <c r="E415" s="103"/>
      <c r="F415" s="103"/>
      <c r="G415" s="103"/>
      <c r="H415" s="103"/>
      <c r="I415" s="5"/>
    </row>
    <row r="416" spans="1:9" ht="15.75" customHeight="1" x14ac:dyDescent="0.2">
      <c r="A416" s="102"/>
      <c r="B416" s="102"/>
      <c r="C416" s="102"/>
      <c r="D416" s="103"/>
      <c r="E416" s="103"/>
      <c r="F416" s="103"/>
      <c r="G416" s="103"/>
      <c r="H416" s="103"/>
      <c r="I416" s="5"/>
    </row>
    <row r="417" spans="1:9" ht="15.75" customHeight="1" x14ac:dyDescent="0.2">
      <c r="A417" s="102"/>
      <c r="B417" s="102"/>
      <c r="C417" s="102"/>
      <c r="D417" s="103"/>
      <c r="E417" s="103"/>
      <c r="F417" s="103"/>
      <c r="G417" s="103"/>
      <c r="H417" s="103"/>
      <c r="I417" s="5"/>
    </row>
    <row r="418" spans="1:9" ht="15.75" customHeight="1" x14ac:dyDescent="0.2">
      <c r="A418" s="102"/>
      <c r="B418" s="102"/>
      <c r="C418" s="102"/>
      <c r="D418" s="103"/>
      <c r="E418" s="103"/>
      <c r="F418" s="103"/>
      <c r="G418" s="103"/>
      <c r="H418" s="103"/>
      <c r="I418" s="5"/>
    </row>
    <row r="419" spans="1:9" ht="15.75" customHeight="1" x14ac:dyDescent="0.2">
      <c r="A419" s="102"/>
      <c r="B419" s="102"/>
      <c r="C419" s="102"/>
      <c r="D419" s="103"/>
      <c r="E419" s="103"/>
      <c r="F419" s="103"/>
      <c r="G419" s="103"/>
      <c r="H419" s="103"/>
      <c r="I419" s="5"/>
    </row>
    <row r="420" spans="1:9" ht="15.75" customHeight="1" x14ac:dyDescent="0.2">
      <c r="A420" s="102"/>
      <c r="B420" s="102"/>
      <c r="C420" s="102"/>
      <c r="D420" s="103"/>
      <c r="E420" s="103"/>
      <c r="F420" s="103"/>
      <c r="G420" s="103"/>
      <c r="H420" s="103"/>
      <c r="I420" s="5"/>
    </row>
    <row r="421" spans="1:9" ht="15.75" customHeight="1" x14ac:dyDescent="0.2">
      <c r="A421" s="102"/>
      <c r="B421" s="102"/>
      <c r="C421" s="102"/>
      <c r="D421" s="103"/>
      <c r="E421" s="103"/>
      <c r="F421" s="103"/>
      <c r="G421" s="103"/>
      <c r="H421" s="103"/>
      <c r="I421" s="5"/>
    </row>
    <row r="422" spans="1:9" ht="15.75" customHeight="1" x14ac:dyDescent="0.2">
      <c r="A422" s="102"/>
      <c r="B422" s="102"/>
      <c r="C422" s="102"/>
      <c r="D422" s="103"/>
      <c r="E422" s="103"/>
      <c r="F422" s="103"/>
      <c r="G422" s="103"/>
      <c r="H422" s="103"/>
      <c r="I422" s="5"/>
    </row>
    <row r="423" spans="1:9" ht="15.75" customHeight="1" x14ac:dyDescent="0.2">
      <c r="A423" s="102"/>
      <c r="B423" s="102"/>
      <c r="C423" s="102"/>
      <c r="D423" s="103"/>
      <c r="E423" s="103"/>
      <c r="F423" s="103"/>
      <c r="G423" s="103"/>
      <c r="H423" s="103"/>
      <c r="I423" s="5"/>
    </row>
    <row r="424" spans="1:9" ht="15.75" customHeight="1" x14ac:dyDescent="0.2">
      <c r="A424" s="102"/>
      <c r="B424" s="102"/>
      <c r="C424" s="102"/>
      <c r="D424" s="103"/>
      <c r="E424" s="103"/>
      <c r="F424" s="103"/>
      <c r="G424" s="103"/>
      <c r="H424" s="103"/>
      <c r="I424" s="5"/>
    </row>
    <row r="425" spans="1:9" ht="15.75" customHeight="1" x14ac:dyDescent="0.2">
      <c r="A425" s="102"/>
      <c r="B425" s="102"/>
      <c r="C425" s="102"/>
      <c r="D425" s="103"/>
      <c r="E425" s="103"/>
      <c r="F425" s="103"/>
      <c r="G425" s="103"/>
      <c r="H425" s="103"/>
      <c r="I425" s="5"/>
    </row>
    <row r="426" spans="1:9" ht="15.75" customHeight="1" x14ac:dyDescent="0.2">
      <c r="A426" s="102"/>
      <c r="B426" s="102"/>
      <c r="C426" s="102"/>
      <c r="D426" s="103"/>
      <c r="E426" s="103"/>
      <c r="F426" s="103"/>
      <c r="G426" s="103"/>
      <c r="H426" s="103"/>
      <c r="I426" s="5"/>
    </row>
    <row r="427" spans="1:9" ht="15.75" customHeight="1" x14ac:dyDescent="0.2">
      <c r="A427" s="102"/>
      <c r="B427" s="102"/>
      <c r="C427" s="102"/>
      <c r="D427" s="103"/>
      <c r="E427" s="103"/>
      <c r="F427" s="103"/>
      <c r="G427" s="103"/>
      <c r="H427" s="103"/>
      <c r="I427" s="5"/>
    </row>
    <row r="428" spans="1:9" ht="15.75" customHeight="1" x14ac:dyDescent="0.2">
      <c r="A428" s="102"/>
      <c r="B428" s="102"/>
      <c r="C428" s="102"/>
      <c r="D428" s="103"/>
      <c r="E428" s="103"/>
      <c r="F428" s="103"/>
      <c r="G428" s="103"/>
      <c r="H428" s="103"/>
      <c r="I428" s="5"/>
    </row>
    <row r="429" spans="1:9" ht="15.75" customHeight="1" x14ac:dyDescent="0.2">
      <c r="A429" s="102"/>
      <c r="B429" s="102"/>
      <c r="C429" s="102"/>
      <c r="D429" s="103"/>
      <c r="E429" s="103"/>
      <c r="F429" s="103"/>
      <c r="G429" s="103"/>
      <c r="H429" s="103"/>
      <c r="I429" s="5"/>
    </row>
    <row r="430" spans="1:9" ht="15.75" customHeight="1" x14ac:dyDescent="0.2">
      <c r="A430" s="102"/>
      <c r="B430" s="102"/>
      <c r="C430" s="102"/>
      <c r="D430" s="103"/>
      <c r="E430" s="103"/>
      <c r="F430" s="103"/>
      <c r="G430" s="103"/>
      <c r="H430" s="103"/>
      <c r="I430" s="5"/>
    </row>
    <row r="431" spans="1:9" ht="15.75" customHeight="1" x14ac:dyDescent="0.2">
      <c r="A431" s="102"/>
      <c r="B431" s="102"/>
      <c r="C431" s="102"/>
      <c r="D431" s="103"/>
      <c r="E431" s="103"/>
      <c r="F431" s="103"/>
      <c r="G431" s="103"/>
      <c r="H431" s="103"/>
      <c r="I431" s="5"/>
    </row>
    <row r="432" spans="1:9" ht="15.75" customHeight="1" x14ac:dyDescent="0.2">
      <c r="A432" s="102"/>
      <c r="B432" s="102"/>
      <c r="C432" s="102"/>
      <c r="D432" s="103"/>
      <c r="E432" s="103"/>
      <c r="F432" s="103"/>
      <c r="G432" s="103"/>
      <c r="H432" s="103"/>
      <c r="I432" s="5"/>
    </row>
    <row r="433" spans="1:9" ht="15.75" customHeight="1" x14ac:dyDescent="0.2">
      <c r="A433" s="102"/>
      <c r="B433" s="102"/>
      <c r="C433" s="102"/>
      <c r="D433" s="103"/>
      <c r="E433" s="103"/>
      <c r="F433" s="103"/>
      <c r="G433" s="103"/>
      <c r="H433" s="103"/>
      <c r="I433" s="5"/>
    </row>
    <row r="434" spans="1:9" ht="15.75" customHeight="1" x14ac:dyDescent="0.2">
      <c r="A434" s="102"/>
      <c r="B434" s="102"/>
      <c r="C434" s="102"/>
      <c r="D434" s="103"/>
      <c r="E434" s="103"/>
      <c r="F434" s="103"/>
      <c r="G434" s="103"/>
      <c r="H434" s="103"/>
      <c r="I434" s="5"/>
    </row>
    <row r="435" spans="1:9" ht="15.75" customHeight="1" x14ac:dyDescent="0.2">
      <c r="A435" s="102"/>
      <c r="B435" s="102"/>
      <c r="C435" s="102"/>
      <c r="D435" s="103"/>
      <c r="E435" s="103"/>
      <c r="F435" s="103"/>
      <c r="G435" s="103"/>
      <c r="H435" s="103"/>
      <c r="I435" s="5"/>
    </row>
    <row r="436" spans="1:9" ht="15.75" customHeight="1" x14ac:dyDescent="0.2">
      <c r="A436" s="102"/>
      <c r="B436" s="102"/>
      <c r="C436" s="102"/>
      <c r="D436" s="103"/>
      <c r="E436" s="103"/>
      <c r="F436" s="103"/>
      <c r="G436" s="103"/>
      <c r="H436" s="103"/>
      <c r="I436" s="5"/>
    </row>
    <row r="437" spans="1:9" ht="15.75" customHeight="1" x14ac:dyDescent="0.2">
      <c r="A437" s="102"/>
      <c r="B437" s="102"/>
      <c r="C437" s="102"/>
      <c r="D437" s="103"/>
      <c r="E437" s="103"/>
      <c r="F437" s="103"/>
      <c r="G437" s="103"/>
      <c r="H437" s="103"/>
      <c r="I437" s="5"/>
    </row>
    <row r="438" spans="1:9" ht="15.75" customHeight="1" x14ac:dyDescent="0.2">
      <c r="A438" s="102"/>
      <c r="B438" s="102"/>
      <c r="C438" s="102"/>
      <c r="D438" s="103"/>
      <c r="E438" s="103"/>
      <c r="F438" s="103"/>
      <c r="G438" s="103"/>
      <c r="H438" s="103"/>
      <c r="I438" s="5"/>
    </row>
    <row r="439" spans="1:9" ht="15.75" customHeight="1" x14ac:dyDescent="0.2">
      <c r="A439" s="102"/>
      <c r="B439" s="102"/>
      <c r="C439" s="102"/>
      <c r="D439" s="103"/>
      <c r="E439" s="103"/>
      <c r="F439" s="103"/>
      <c r="G439" s="103"/>
      <c r="H439" s="103"/>
      <c r="I439" s="5"/>
    </row>
    <row r="440" spans="1:9" ht="15.75" customHeight="1" x14ac:dyDescent="0.2">
      <c r="A440" s="102"/>
      <c r="B440" s="102"/>
      <c r="C440" s="102"/>
      <c r="D440" s="103"/>
      <c r="E440" s="103"/>
      <c r="F440" s="103"/>
      <c r="G440" s="103"/>
      <c r="H440" s="103"/>
      <c r="I440" s="5"/>
    </row>
    <row r="441" spans="1:9" ht="15.75" customHeight="1" x14ac:dyDescent="0.2">
      <c r="A441" s="102"/>
      <c r="B441" s="102"/>
      <c r="C441" s="102"/>
      <c r="D441" s="103"/>
      <c r="E441" s="103"/>
      <c r="F441" s="103"/>
      <c r="G441" s="103"/>
      <c r="H441" s="103"/>
      <c r="I441" s="5"/>
    </row>
    <row r="442" spans="1:9" ht="15.75" customHeight="1" x14ac:dyDescent="0.2">
      <c r="A442" s="102"/>
      <c r="B442" s="102"/>
      <c r="C442" s="102"/>
      <c r="D442" s="103"/>
      <c r="E442" s="103"/>
      <c r="F442" s="103"/>
      <c r="G442" s="103"/>
      <c r="H442" s="103"/>
      <c r="I442" s="5"/>
    </row>
    <row r="443" spans="1:9" ht="15.75" customHeight="1" x14ac:dyDescent="0.2">
      <c r="A443" s="102"/>
      <c r="B443" s="102"/>
      <c r="C443" s="102"/>
      <c r="D443" s="103"/>
      <c r="E443" s="103"/>
      <c r="F443" s="103"/>
      <c r="G443" s="103"/>
      <c r="H443" s="103"/>
      <c r="I443" s="5"/>
    </row>
    <row r="444" spans="1:9" ht="15.75" customHeight="1" x14ac:dyDescent="0.2">
      <c r="A444" s="102"/>
      <c r="B444" s="102"/>
      <c r="C444" s="102"/>
      <c r="D444" s="103"/>
      <c r="E444" s="103"/>
      <c r="F444" s="103"/>
      <c r="G444" s="103"/>
      <c r="H444" s="103"/>
      <c r="I444" s="5"/>
    </row>
    <row r="445" spans="1:9" ht="15.75" customHeight="1" x14ac:dyDescent="0.2">
      <c r="A445" s="102"/>
      <c r="B445" s="102"/>
      <c r="C445" s="102"/>
      <c r="D445" s="103"/>
      <c r="E445" s="103"/>
      <c r="F445" s="103"/>
      <c r="G445" s="103"/>
      <c r="H445" s="103"/>
      <c r="I445" s="5"/>
    </row>
    <row r="446" spans="1:9" ht="15.75" customHeight="1" x14ac:dyDescent="0.2">
      <c r="A446" s="102"/>
      <c r="B446" s="102"/>
      <c r="C446" s="102"/>
      <c r="D446" s="103"/>
      <c r="E446" s="103"/>
      <c r="F446" s="103"/>
      <c r="G446" s="103"/>
      <c r="H446" s="103"/>
      <c r="I446" s="5"/>
    </row>
    <row r="447" spans="1:9" ht="15.75" customHeight="1" x14ac:dyDescent="0.2">
      <c r="A447" s="102"/>
      <c r="B447" s="102"/>
      <c r="C447" s="102"/>
      <c r="D447" s="103"/>
      <c r="E447" s="103"/>
      <c r="F447" s="103"/>
      <c r="G447" s="103"/>
      <c r="H447" s="103"/>
      <c r="I447" s="5"/>
    </row>
    <row r="448" spans="1:9" ht="15.75" customHeight="1" x14ac:dyDescent="0.2">
      <c r="A448" s="102"/>
      <c r="B448" s="102"/>
      <c r="C448" s="102"/>
      <c r="D448" s="103"/>
      <c r="E448" s="103"/>
      <c r="F448" s="103"/>
      <c r="G448" s="103"/>
      <c r="H448" s="103"/>
      <c r="I448" s="5"/>
    </row>
    <row r="449" spans="1:9" ht="15.75" customHeight="1" x14ac:dyDescent="0.2">
      <c r="A449" s="102"/>
      <c r="B449" s="102"/>
      <c r="C449" s="102"/>
      <c r="D449" s="103"/>
      <c r="E449" s="103"/>
      <c r="F449" s="103"/>
      <c r="G449" s="103"/>
      <c r="H449" s="103"/>
      <c r="I449" s="5"/>
    </row>
    <row r="450" spans="1:9" ht="15.75" customHeight="1" x14ac:dyDescent="0.2">
      <c r="A450" s="102"/>
      <c r="B450" s="102"/>
      <c r="C450" s="102"/>
      <c r="D450" s="103"/>
      <c r="E450" s="103"/>
      <c r="F450" s="103"/>
      <c r="G450" s="103"/>
      <c r="H450" s="103"/>
      <c r="I450" s="5"/>
    </row>
    <row r="451" spans="1:9" ht="15.75" customHeight="1" x14ac:dyDescent="0.2">
      <c r="A451" s="102"/>
      <c r="B451" s="102"/>
      <c r="C451" s="102"/>
      <c r="D451" s="103"/>
      <c r="E451" s="103"/>
      <c r="F451" s="103"/>
      <c r="G451" s="103"/>
      <c r="H451" s="103"/>
      <c r="I451" s="5"/>
    </row>
    <row r="452" spans="1:9" ht="15.75" customHeight="1" x14ac:dyDescent="0.2">
      <c r="A452" s="102"/>
      <c r="B452" s="102"/>
      <c r="C452" s="102"/>
      <c r="D452" s="103"/>
      <c r="E452" s="103"/>
      <c r="F452" s="103"/>
      <c r="G452" s="103"/>
      <c r="H452" s="103"/>
      <c r="I452" s="5"/>
    </row>
    <row r="453" spans="1:9" ht="15.75" customHeight="1" x14ac:dyDescent="0.2">
      <c r="A453" s="102"/>
      <c r="B453" s="102"/>
      <c r="C453" s="102"/>
      <c r="D453" s="103"/>
      <c r="E453" s="103"/>
      <c r="F453" s="103"/>
      <c r="G453" s="103"/>
      <c r="H453" s="103"/>
      <c r="I453" s="5"/>
    </row>
    <row r="454" spans="1:9" ht="15.75" customHeight="1" x14ac:dyDescent="0.2">
      <c r="A454" s="102"/>
      <c r="B454" s="102"/>
      <c r="C454" s="102"/>
      <c r="D454" s="103"/>
      <c r="E454" s="103"/>
      <c r="F454" s="103"/>
      <c r="G454" s="103"/>
      <c r="H454" s="103"/>
      <c r="I454" s="5"/>
    </row>
    <row r="455" spans="1:9" ht="15.75" customHeight="1" x14ac:dyDescent="0.2">
      <c r="A455" s="102"/>
      <c r="B455" s="102"/>
      <c r="C455" s="102"/>
      <c r="D455" s="103"/>
      <c r="E455" s="103"/>
      <c r="F455" s="103"/>
      <c r="G455" s="103"/>
      <c r="H455" s="103"/>
      <c r="I455" s="5"/>
    </row>
    <row r="456" spans="1:9" ht="15.75" customHeight="1" x14ac:dyDescent="0.2">
      <c r="A456" s="102"/>
      <c r="B456" s="102"/>
      <c r="C456" s="102"/>
      <c r="D456" s="103"/>
      <c r="E456" s="103"/>
      <c r="F456" s="103"/>
      <c r="G456" s="103"/>
      <c r="H456" s="103"/>
      <c r="I456" s="5"/>
    </row>
    <row r="457" spans="1:9" ht="15.75" customHeight="1" x14ac:dyDescent="0.2">
      <c r="A457" s="102"/>
      <c r="B457" s="102"/>
      <c r="C457" s="102"/>
      <c r="D457" s="103"/>
      <c r="E457" s="103"/>
      <c r="F457" s="103"/>
      <c r="G457" s="103"/>
      <c r="H457" s="103"/>
      <c r="I457" s="5"/>
    </row>
    <row r="458" spans="1:9" ht="15.75" customHeight="1" x14ac:dyDescent="0.2">
      <c r="A458" s="102"/>
      <c r="B458" s="102"/>
      <c r="C458" s="102"/>
      <c r="D458" s="103"/>
      <c r="E458" s="103"/>
      <c r="F458" s="103"/>
      <c r="G458" s="103"/>
      <c r="H458" s="103"/>
      <c r="I458" s="5"/>
    </row>
    <row r="459" spans="1:9" ht="15.75" customHeight="1" x14ac:dyDescent="0.2">
      <c r="A459" s="102"/>
      <c r="B459" s="102"/>
      <c r="C459" s="102"/>
      <c r="D459" s="103"/>
      <c r="E459" s="103"/>
      <c r="F459" s="103"/>
      <c r="G459" s="103"/>
      <c r="H459" s="103"/>
      <c r="I459" s="5"/>
    </row>
    <row r="460" spans="1:9" ht="15.75" customHeight="1" x14ac:dyDescent="0.2">
      <c r="A460" s="102"/>
      <c r="B460" s="102"/>
      <c r="C460" s="102"/>
      <c r="D460" s="103"/>
      <c r="E460" s="103"/>
      <c r="F460" s="103"/>
      <c r="G460" s="103"/>
      <c r="H460" s="103"/>
      <c r="I460" s="5"/>
    </row>
    <row r="461" spans="1:9" ht="15.75" customHeight="1" x14ac:dyDescent="0.2">
      <c r="A461" s="102"/>
      <c r="B461" s="102"/>
      <c r="C461" s="102"/>
      <c r="D461" s="103"/>
      <c r="E461" s="103"/>
      <c r="F461" s="103"/>
      <c r="G461" s="103"/>
      <c r="H461" s="103"/>
      <c r="I461" s="5"/>
    </row>
    <row r="462" spans="1:9" ht="15.75" customHeight="1" x14ac:dyDescent="0.2">
      <c r="A462" s="102"/>
      <c r="B462" s="102"/>
      <c r="C462" s="102"/>
      <c r="D462" s="103"/>
      <c r="E462" s="103"/>
      <c r="F462" s="103"/>
      <c r="G462" s="103"/>
      <c r="H462" s="103"/>
      <c r="I462" s="5"/>
    </row>
    <row r="463" spans="1:9" ht="15.75" customHeight="1" x14ac:dyDescent="0.2">
      <c r="A463" s="102"/>
      <c r="B463" s="102"/>
      <c r="C463" s="102"/>
      <c r="D463" s="103"/>
      <c r="E463" s="103"/>
      <c r="F463" s="103"/>
      <c r="G463" s="103"/>
      <c r="H463" s="103"/>
      <c r="I463" s="5"/>
    </row>
    <row r="464" spans="1:9" ht="15.75" customHeight="1" x14ac:dyDescent="0.2">
      <c r="A464" s="102"/>
      <c r="B464" s="102"/>
      <c r="C464" s="102"/>
      <c r="D464" s="103"/>
      <c r="E464" s="103"/>
      <c r="F464" s="103"/>
      <c r="G464" s="103"/>
      <c r="H464" s="103"/>
      <c r="I464" s="5"/>
    </row>
    <row r="465" spans="1:9" ht="15.75" customHeight="1" x14ac:dyDescent="0.2">
      <c r="A465" s="102"/>
      <c r="B465" s="102"/>
      <c r="C465" s="102"/>
      <c r="D465" s="103"/>
      <c r="E465" s="103"/>
      <c r="F465" s="103"/>
      <c r="G465" s="103"/>
      <c r="H465" s="103"/>
      <c r="I465" s="5"/>
    </row>
    <row r="466" spans="1:9" ht="15.75" customHeight="1" x14ac:dyDescent="0.2">
      <c r="A466" s="102"/>
      <c r="B466" s="102"/>
      <c r="C466" s="102"/>
      <c r="D466" s="103"/>
      <c r="E466" s="103"/>
      <c r="F466" s="103"/>
      <c r="G466" s="103"/>
      <c r="H466" s="103"/>
      <c r="I466" s="5"/>
    </row>
    <row r="467" spans="1:9" ht="15.75" customHeight="1" x14ac:dyDescent="0.2">
      <c r="A467" s="102"/>
      <c r="B467" s="102"/>
      <c r="C467" s="102"/>
      <c r="D467" s="103"/>
      <c r="E467" s="103"/>
      <c r="F467" s="103"/>
      <c r="G467" s="103"/>
      <c r="H467" s="103"/>
      <c r="I467" s="5"/>
    </row>
    <row r="468" spans="1:9" ht="15.75" customHeight="1" x14ac:dyDescent="0.2">
      <c r="A468" s="102"/>
      <c r="B468" s="102"/>
      <c r="C468" s="102"/>
      <c r="D468" s="103"/>
      <c r="E468" s="103"/>
      <c r="F468" s="103"/>
      <c r="G468" s="103"/>
      <c r="H468" s="103"/>
      <c r="I468" s="5"/>
    </row>
    <row r="469" spans="1:9" ht="15.75" customHeight="1" x14ac:dyDescent="0.2">
      <c r="A469" s="102"/>
      <c r="B469" s="102"/>
      <c r="C469" s="102"/>
      <c r="D469" s="103"/>
      <c r="E469" s="103"/>
      <c r="F469" s="103"/>
      <c r="G469" s="103"/>
      <c r="H469" s="103"/>
      <c r="I469" s="5"/>
    </row>
    <row r="470" spans="1:9" ht="15.75" customHeight="1" x14ac:dyDescent="0.2">
      <c r="A470" s="102"/>
      <c r="B470" s="102"/>
      <c r="C470" s="102"/>
      <c r="D470" s="103"/>
      <c r="E470" s="103"/>
      <c r="F470" s="103"/>
      <c r="G470" s="103"/>
      <c r="H470" s="103"/>
      <c r="I470" s="5"/>
    </row>
    <row r="471" spans="1:9" ht="15.75" customHeight="1" x14ac:dyDescent="0.2">
      <c r="A471" s="102"/>
      <c r="B471" s="102"/>
      <c r="C471" s="102"/>
      <c r="D471" s="103"/>
      <c r="E471" s="103"/>
      <c r="F471" s="103"/>
      <c r="G471" s="103"/>
      <c r="H471" s="103"/>
      <c r="I471" s="5"/>
    </row>
    <row r="472" spans="1:9" ht="15.75" customHeight="1" x14ac:dyDescent="0.2">
      <c r="A472" s="102"/>
      <c r="B472" s="102"/>
      <c r="C472" s="102"/>
      <c r="D472" s="103"/>
      <c r="E472" s="103"/>
      <c r="F472" s="103"/>
      <c r="G472" s="103"/>
      <c r="H472" s="103"/>
      <c r="I472" s="5"/>
    </row>
    <row r="473" spans="1:9" ht="15.75" customHeight="1" x14ac:dyDescent="0.2">
      <c r="A473" s="102"/>
      <c r="B473" s="102"/>
      <c r="C473" s="102"/>
      <c r="D473" s="103"/>
      <c r="E473" s="103"/>
      <c r="F473" s="103"/>
      <c r="G473" s="103"/>
      <c r="H473" s="103"/>
      <c r="I473" s="5"/>
    </row>
    <row r="474" spans="1:9" ht="15.75" customHeight="1" x14ac:dyDescent="0.2">
      <c r="A474" s="102"/>
      <c r="B474" s="102"/>
      <c r="C474" s="102"/>
      <c r="D474" s="103"/>
      <c r="E474" s="103"/>
      <c r="F474" s="103"/>
      <c r="G474" s="103"/>
      <c r="H474" s="103"/>
      <c r="I474" s="5"/>
    </row>
    <row r="475" spans="1:9" ht="15.75" customHeight="1" x14ac:dyDescent="0.2">
      <c r="A475" s="102"/>
      <c r="B475" s="102"/>
      <c r="C475" s="102"/>
      <c r="D475" s="103"/>
      <c r="E475" s="103"/>
      <c r="F475" s="103"/>
      <c r="G475" s="103"/>
      <c r="H475" s="103"/>
      <c r="I475" s="5"/>
    </row>
    <row r="476" spans="1:9" ht="15.75" customHeight="1" x14ac:dyDescent="0.2">
      <c r="A476" s="102"/>
      <c r="B476" s="102"/>
      <c r="C476" s="102"/>
      <c r="D476" s="103"/>
      <c r="E476" s="103"/>
      <c r="F476" s="103"/>
      <c r="G476" s="103"/>
      <c r="H476" s="103"/>
      <c r="I476" s="5"/>
    </row>
    <row r="477" spans="1:9" ht="15.75" customHeight="1" x14ac:dyDescent="0.2">
      <c r="A477" s="102"/>
      <c r="B477" s="102"/>
      <c r="C477" s="102"/>
      <c r="D477" s="103"/>
      <c r="E477" s="103"/>
      <c r="F477" s="103"/>
      <c r="G477" s="103"/>
      <c r="H477" s="103"/>
      <c r="I477" s="5"/>
    </row>
    <row r="478" spans="1:9" ht="15.75" customHeight="1" x14ac:dyDescent="0.2">
      <c r="A478" s="102"/>
      <c r="B478" s="102"/>
      <c r="C478" s="102"/>
      <c r="D478" s="103"/>
      <c r="E478" s="103"/>
      <c r="F478" s="103"/>
      <c r="G478" s="103"/>
      <c r="H478" s="103"/>
      <c r="I478" s="5"/>
    </row>
    <row r="479" spans="1:9" ht="15.75" customHeight="1" x14ac:dyDescent="0.2">
      <c r="A479" s="102"/>
      <c r="B479" s="102"/>
      <c r="C479" s="102"/>
      <c r="D479" s="103"/>
      <c r="E479" s="103"/>
      <c r="F479" s="103"/>
      <c r="G479" s="103"/>
      <c r="H479" s="103"/>
      <c r="I479" s="5"/>
    </row>
    <row r="480" spans="1:9" ht="15.75" customHeight="1" x14ac:dyDescent="0.2">
      <c r="A480" s="102"/>
      <c r="B480" s="102"/>
      <c r="C480" s="102"/>
      <c r="D480" s="103"/>
      <c r="E480" s="103"/>
      <c r="F480" s="103"/>
      <c r="G480" s="103"/>
      <c r="H480" s="103"/>
      <c r="I480" s="5"/>
    </row>
    <row r="481" spans="1:9" ht="15.75" customHeight="1" x14ac:dyDescent="0.2">
      <c r="A481" s="102"/>
      <c r="B481" s="102"/>
      <c r="C481" s="102"/>
      <c r="D481" s="103"/>
      <c r="E481" s="103"/>
      <c r="F481" s="103"/>
      <c r="G481" s="103"/>
      <c r="H481" s="103"/>
      <c r="I481" s="5"/>
    </row>
    <row r="482" spans="1:9" ht="15.75" customHeight="1" x14ac:dyDescent="0.2">
      <c r="A482" s="102"/>
      <c r="B482" s="102"/>
      <c r="C482" s="102"/>
      <c r="D482" s="103"/>
      <c r="E482" s="103"/>
      <c r="F482" s="103"/>
      <c r="G482" s="103"/>
      <c r="H482" s="103"/>
      <c r="I482" s="5"/>
    </row>
    <row r="483" spans="1:9" ht="15.75" customHeight="1" x14ac:dyDescent="0.2">
      <c r="A483" s="102"/>
      <c r="B483" s="102"/>
      <c r="C483" s="102"/>
      <c r="D483" s="103"/>
      <c r="E483" s="103"/>
      <c r="F483" s="103"/>
      <c r="G483" s="103"/>
      <c r="H483" s="103"/>
      <c r="I483" s="5"/>
    </row>
    <row r="484" spans="1:9" ht="15.75" customHeight="1" x14ac:dyDescent="0.2">
      <c r="A484" s="102"/>
      <c r="B484" s="102"/>
      <c r="C484" s="102"/>
      <c r="D484" s="103"/>
      <c r="E484" s="103"/>
      <c r="F484" s="103"/>
      <c r="G484" s="103"/>
      <c r="H484" s="103"/>
      <c r="I484" s="5"/>
    </row>
    <row r="485" spans="1:9" ht="15.75" customHeight="1" x14ac:dyDescent="0.2">
      <c r="A485" s="102"/>
      <c r="B485" s="102"/>
      <c r="C485" s="102"/>
      <c r="D485" s="103"/>
      <c r="E485" s="103"/>
      <c r="F485" s="103"/>
      <c r="G485" s="103"/>
      <c r="H485" s="103"/>
      <c r="I485" s="5"/>
    </row>
    <row r="486" spans="1:9" ht="15.75" customHeight="1" x14ac:dyDescent="0.2">
      <c r="A486" s="102"/>
      <c r="B486" s="102"/>
      <c r="C486" s="102"/>
      <c r="D486" s="103"/>
      <c r="E486" s="103"/>
      <c r="F486" s="103"/>
      <c r="G486" s="103"/>
      <c r="H486" s="103"/>
      <c r="I486" s="5"/>
    </row>
    <row r="487" spans="1:9" ht="15.75" customHeight="1" x14ac:dyDescent="0.2">
      <c r="A487" s="102"/>
      <c r="B487" s="102"/>
      <c r="C487" s="102"/>
      <c r="D487" s="103"/>
      <c r="E487" s="103"/>
      <c r="F487" s="103"/>
      <c r="G487" s="103"/>
      <c r="H487" s="103"/>
      <c r="I487" s="5"/>
    </row>
    <row r="488" spans="1:9" ht="15.75" customHeight="1" x14ac:dyDescent="0.2">
      <c r="A488" s="102"/>
      <c r="B488" s="102"/>
      <c r="C488" s="102"/>
      <c r="D488" s="103"/>
      <c r="E488" s="103"/>
      <c r="F488" s="103"/>
      <c r="G488" s="103"/>
      <c r="H488" s="103"/>
      <c r="I488" s="5"/>
    </row>
    <row r="489" spans="1:9" ht="15.75" customHeight="1" x14ac:dyDescent="0.2">
      <c r="A489" s="102"/>
      <c r="B489" s="102"/>
      <c r="C489" s="102"/>
      <c r="D489" s="103"/>
      <c r="E489" s="103"/>
      <c r="F489" s="103"/>
      <c r="G489" s="103"/>
      <c r="H489" s="103"/>
      <c r="I489" s="5"/>
    </row>
    <row r="490" spans="1:9" ht="15.75" customHeight="1" x14ac:dyDescent="0.2">
      <c r="A490" s="102"/>
      <c r="B490" s="102"/>
      <c r="C490" s="102"/>
      <c r="D490" s="103"/>
      <c r="E490" s="103"/>
      <c r="F490" s="103"/>
      <c r="G490" s="103"/>
      <c r="H490" s="103"/>
      <c r="I490" s="5"/>
    </row>
    <row r="491" spans="1:9" ht="15.75" customHeight="1" x14ac:dyDescent="0.2">
      <c r="A491" s="102"/>
      <c r="B491" s="102"/>
      <c r="C491" s="102"/>
      <c r="D491" s="103"/>
      <c r="E491" s="103"/>
      <c r="F491" s="103"/>
      <c r="G491" s="103"/>
      <c r="H491" s="103"/>
      <c r="I491" s="5"/>
    </row>
    <row r="492" spans="1:9" ht="15.75" customHeight="1" x14ac:dyDescent="0.2">
      <c r="A492" s="102"/>
      <c r="B492" s="102"/>
      <c r="C492" s="102"/>
      <c r="D492" s="103"/>
      <c r="E492" s="103"/>
      <c r="F492" s="103"/>
      <c r="G492" s="103"/>
      <c r="H492" s="103"/>
      <c r="I492" s="5"/>
    </row>
    <row r="493" spans="1:9" ht="15.75" customHeight="1" x14ac:dyDescent="0.2">
      <c r="A493" s="102"/>
      <c r="B493" s="102"/>
      <c r="C493" s="102"/>
      <c r="D493" s="103"/>
      <c r="E493" s="103"/>
      <c r="F493" s="103"/>
      <c r="G493" s="103"/>
      <c r="H493" s="103"/>
      <c r="I493" s="5"/>
    </row>
    <row r="494" spans="1:9" ht="15.75" customHeight="1" x14ac:dyDescent="0.2">
      <c r="A494" s="102"/>
      <c r="B494" s="102"/>
      <c r="C494" s="102"/>
      <c r="D494" s="103"/>
      <c r="E494" s="103"/>
      <c r="F494" s="103"/>
      <c r="G494" s="103"/>
      <c r="H494" s="103"/>
      <c r="I494" s="5"/>
    </row>
    <row r="495" spans="1:9" ht="15.75" customHeight="1" x14ac:dyDescent="0.2">
      <c r="A495" s="102"/>
      <c r="B495" s="102"/>
      <c r="C495" s="102"/>
      <c r="D495" s="103"/>
      <c r="E495" s="103"/>
      <c r="F495" s="103"/>
      <c r="G495" s="103"/>
      <c r="H495" s="103"/>
      <c r="I495" s="5"/>
    </row>
    <row r="496" spans="1:9" ht="15.75" customHeight="1" x14ac:dyDescent="0.2">
      <c r="A496" s="102"/>
      <c r="B496" s="102"/>
      <c r="C496" s="102"/>
      <c r="D496" s="103"/>
      <c r="E496" s="103"/>
      <c r="F496" s="103"/>
      <c r="G496" s="103"/>
      <c r="H496" s="103"/>
      <c r="I496" s="5"/>
    </row>
    <row r="497" spans="1:9" ht="15.75" customHeight="1" x14ac:dyDescent="0.2">
      <c r="A497" s="102"/>
      <c r="B497" s="102"/>
      <c r="C497" s="102"/>
      <c r="D497" s="103"/>
      <c r="E497" s="103"/>
      <c r="F497" s="103"/>
      <c r="G497" s="103"/>
      <c r="H497" s="103"/>
      <c r="I497" s="5"/>
    </row>
    <row r="498" spans="1:9" ht="15.75" customHeight="1" x14ac:dyDescent="0.2">
      <c r="A498" s="102"/>
      <c r="B498" s="102"/>
      <c r="C498" s="102"/>
      <c r="D498" s="103"/>
      <c r="E498" s="103"/>
      <c r="F498" s="103"/>
      <c r="G498" s="103"/>
      <c r="H498" s="103"/>
      <c r="I498" s="5"/>
    </row>
    <row r="499" spans="1:9" ht="15.75" customHeight="1" x14ac:dyDescent="0.2">
      <c r="A499" s="102"/>
      <c r="B499" s="102"/>
      <c r="C499" s="102"/>
      <c r="D499" s="103"/>
      <c r="E499" s="103"/>
      <c r="F499" s="103"/>
      <c r="G499" s="103"/>
      <c r="H499" s="103"/>
      <c r="I499" s="5"/>
    </row>
    <row r="500" spans="1:9" ht="15.75" customHeight="1" x14ac:dyDescent="0.2">
      <c r="A500" s="102"/>
      <c r="B500" s="102"/>
      <c r="C500" s="102"/>
      <c r="D500" s="103"/>
      <c r="E500" s="103"/>
      <c r="F500" s="103"/>
      <c r="G500" s="103"/>
      <c r="H500" s="103"/>
      <c r="I500" s="5"/>
    </row>
    <row r="501" spans="1:9" ht="15.75" customHeight="1" x14ac:dyDescent="0.2">
      <c r="A501" s="102"/>
      <c r="B501" s="102"/>
      <c r="C501" s="102"/>
      <c r="D501" s="103"/>
      <c r="E501" s="103"/>
      <c r="F501" s="103"/>
      <c r="G501" s="103"/>
      <c r="H501" s="103"/>
      <c r="I501" s="5"/>
    </row>
    <row r="502" spans="1:9" ht="15.75" customHeight="1" x14ac:dyDescent="0.2">
      <c r="A502" s="102"/>
      <c r="B502" s="102"/>
      <c r="C502" s="102"/>
      <c r="D502" s="103"/>
      <c r="E502" s="103"/>
      <c r="F502" s="103"/>
      <c r="G502" s="103"/>
      <c r="H502" s="103"/>
      <c r="I502" s="5"/>
    </row>
    <row r="503" spans="1:9" ht="15.75" customHeight="1" x14ac:dyDescent="0.2">
      <c r="A503" s="102"/>
      <c r="B503" s="102"/>
      <c r="C503" s="102"/>
      <c r="D503" s="103"/>
      <c r="E503" s="103"/>
      <c r="F503" s="103"/>
      <c r="G503" s="103"/>
      <c r="H503" s="103"/>
      <c r="I503" s="5"/>
    </row>
    <row r="504" spans="1:9" ht="15.75" customHeight="1" x14ac:dyDescent="0.2">
      <c r="A504" s="102"/>
      <c r="B504" s="102"/>
      <c r="C504" s="102"/>
      <c r="D504" s="103"/>
      <c r="E504" s="103"/>
      <c r="F504" s="103"/>
      <c r="G504" s="103"/>
      <c r="H504" s="103"/>
      <c r="I504" s="5"/>
    </row>
    <row r="505" spans="1:9" ht="15.75" customHeight="1" x14ac:dyDescent="0.2">
      <c r="A505" s="102"/>
      <c r="B505" s="102"/>
      <c r="C505" s="102"/>
      <c r="D505" s="103"/>
      <c r="E505" s="103"/>
      <c r="F505" s="103"/>
      <c r="G505" s="103"/>
      <c r="H505" s="103"/>
      <c r="I505" s="5"/>
    </row>
    <row r="506" spans="1:9" ht="15.75" customHeight="1" x14ac:dyDescent="0.2">
      <c r="A506" s="102"/>
      <c r="B506" s="102"/>
      <c r="C506" s="102"/>
      <c r="D506" s="103"/>
      <c r="E506" s="103"/>
      <c r="F506" s="103"/>
      <c r="G506" s="103"/>
      <c r="H506" s="103"/>
      <c r="I506" s="5"/>
    </row>
    <row r="507" spans="1:9" ht="15.75" customHeight="1" x14ac:dyDescent="0.2">
      <c r="A507" s="102"/>
      <c r="B507" s="102"/>
      <c r="C507" s="102"/>
      <c r="D507" s="103"/>
      <c r="E507" s="103"/>
      <c r="F507" s="103"/>
      <c r="G507" s="103"/>
      <c r="H507" s="103"/>
      <c r="I507" s="5"/>
    </row>
    <row r="508" spans="1:9" ht="15.75" customHeight="1" x14ac:dyDescent="0.2">
      <c r="A508" s="102"/>
      <c r="B508" s="102"/>
      <c r="C508" s="102"/>
      <c r="D508" s="103"/>
      <c r="E508" s="103"/>
      <c r="F508" s="103"/>
      <c r="G508" s="103"/>
      <c r="H508" s="103"/>
      <c r="I508" s="5"/>
    </row>
    <row r="509" spans="1:9" ht="15.75" customHeight="1" x14ac:dyDescent="0.2">
      <c r="A509" s="102"/>
      <c r="B509" s="102"/>
      <c r="C509" s="102"/>
      <c r="D509" s="103"/>
      <c r="E509" s="103"/>
      <c r="F509" s="103"/>
      <c r="G509" s="103"/>
      <c r="H509" s="103"/>
      <c r="I509" s="5"/>
    </row>
    <row r="510" spans="1:9" ht="15.75" customHeight="1" x14ac:dyDescent="0.2">
      <c r="A510" s="102"/>
      <c r="B510" s="102"/>
      <c r="C510" s="102"/>
      <c r="D510" s="103"/>
      <c r="E510" s="103"/>
      <c r="F510" s="103"/>
      <c r="G510" s="103"/>
      <c r="H510" s="103"/>
      <c r="I510" s="5"/>
    </row>
    <row r="511" spans="1:9" ht="15.75" customHeight="1" x14ac:dyDescent="0.2">
      <c r="A511" s="102"/>
      <c r="B511" s="102"/>
      <c r="C511" s="102"/>
      <c r="D511" s="103"/>
      <c r="E511" s="103"/>
      <c r="F511" s="103"/>
      <c r="G511" s="103"/>
      <c r="H511" s="103"/>
      <c r="I511" s="5"/>
    </row>
    <row r="512" spans="1:9" ht="15.75" customHeight="1" x14ac:dyDescent="0.2">
      <c r="A512" s="102"/>
      <c r="B512" s="102"/>
      <c r="C512" s="102"/>
      <c r="D512" s="103"/>
      <c r="E512" s="103"/>
      <c r="F512" s="103"/>
      <c r="G512" s="103"/>
      <c r="H512" s="103"/>
      <c r="I512" s="5"/>
    </row>
    <row r="513" spans="1:9" ht="15.75" customHeight="1" x14ac:dyDescent="0.2">
      <c r="A513" s="102"/>
      <c r="B513" s="102"/>
      <c r="C513" s="102"/>
      <c r="D513" s="103"/>
      <c r="E513" s="103"/>
      <c r="F513" s="103"/>
      <c r="G513" s="103"/>
      <c r="H513" s="103"/>
      <c r="I513" s="5"/>
    </row>
    <row r="514" spans="1:9" ht="15.75" customHeight="1" x14ac:dyDescent="0.2">
      <c r="A514" s="102"/>
      <c r="B514" s="102"/>
      <c r="C514" s="102"/>
      <c r="D514" s="103"/>
      <c r="E514" s="103"/>
      <c r="F514" s="103"/>
      <c r="G514" s="103"/>
      <c r="H514" s="103"/>
      <c r="I514" s="5"/>
    </row>
    <row r="515" spans="1:9" ht="15.75" customHeight="1" x14ac:dyDescent="0.2">
      <c r="A515" s="102"/>
      <c r="B515" s="102"/>
      <c r="C515" s="102"/>
      <c r="D515" s="103"/>
      <c r="E515" s="103"/>
      <c r="F515" s="103"/>
      <c r="G515" s="103"/>
      <c r="H515" s="103"/>
      <c r="I515" s="5"/>
    </row>
    <row r="516" spans="1:9" ht="15.75" customHeight="1" x14ac:dyDescent="0.2">
      <c r="A516" s="102"/>
      <c r="B516" s="102"/>
      <c r="C516" s="102"/>
      <c r="D516" s="103"/>
      <c r="E516" s="103"/>
      <c r="F516" s="103"/>
      <c r="G516" s="103"/>
      <c r="H516" s="103"/>
      <c r="I516" s="5"/>
    </row>
    <row r="517" spans="1:9" ht="15.75" customHeight="1" x14ac:dyDescent="0.2">
      <c r="A517" s="102"/>
      <c r="B517" s="102"/>
      <c r="C517" s="102"/>
      <c r="D517" s="103"/>
      <c r="E517" s="103"/>
      <c r="F517" s="103"/>
      <c r="G517" s="103"/>
      <c r="H517" s="103"/>
      <c r="I517" s="5"/>
    </row>
    <row r="518" spans="1:9" ht="15.75" customHeight="1" x14ac:dyDescent="0.2">
      <c r="A518" s="102"/>
      <c r="B518" s="102"/>
      <c r="C518" s="102"/>
      <c r="D518" s="103"/>
      <c r="E518" s="103"/>
      <c r="F518" s="103"/>
      <c r="G518" s="103"/>
      <c r="H518" s="103"/>
      <c r="I518" s="5"/>
    </row>
    <row r="519" spans="1:9" ht="15.75" customHeight="1" x14ac:dyDescent="0.2">
      <c r="A519" s="102"/>
      <c r="B519" s="102"/>
      <c r="C519" s="102"/>
      <c r="D519" s="103"/>
      <c r="E519" s="103"/>
      <c r="F519" s="103"/>
      <c r="G519" s="103"/>
      <c r="H519" s="103"/>
      <c r="I519" s="5"/>
    </row>
    <row r="520" spans="1:9" ht="15.75" customHeight="1" x14ac:dyDescent="0.2">
      <c r="A520" s="102"/>
      <c r="B520" s="102"/>
      <c r="C520" s="102"/>
      <c r="D520" s="103"/>
      <c r="E520" s="103"/>
      <c r="F520" s="103"/>
      <c r="G520" s="103"/>
      <c r="H520" s="103"/>
      <c r="I520" s="5"/>
    </row>
    <row r="521" spans="1:9" ht="15.75" customHeight="1" x14ac:dyDescent="0.2">
      <c r="A521" s="102"/>
      <c r="B521" s="102"/>
      <c r="C521" s="102"/>
      <c r="D521" s="103"/>
      <c r="E521" s="103"/>
      <c r="F521" s="103"/>
      <c r="G521" s="103"/>
      <c r="H521" s="103"/>
      <c r="I521" s="5"/>
    </row>
    <row r="522" spans="1:9" ht="15.75" customHeight="1" x14ac:dyDescent="0.2">
      <c r="A522" s="102"/>
      <c r="B522" s="102"/>
      <c r="C522" s="102"/>
      <c r="D522" s="103"/>
      <c r="E522" s="103"/>
      <c r="F522" s="103"/>
      <c r="G522" s="103"/>
      <c r="H522" s="103"/>
      <c r="I522" s="5"/>
    </row>
    <row r="523" spans="1:9" ht="15.75" customHeight="1" x14ac:dyDescent="0.2">
      <c r="A523" s="102"/>
      <c r="B523" s="102"/>
      <c r="C523" s="102"/>
      <c r="D523" s="103"/>
      <c r="E523" s="103"/>
      <c r="F523" s="103"/>
      <c r="G523" s="103"/>
      <c r="H523" s="103"/>
      <c r="I523" s="5"/>
    </row>
    <row r="524" spans="1:9" ht="15.75" customHeight="1" x14ac:dyDescent="0.2">
      <c r="A524" s="102"/>
      <c r="B524" s="102"/>
      <c r="C524" s="102"/>
      <c r="D524" s="103"/>
      <c r="E524" s="103"/>
      <c r="F524" s="103"/>
      <c r="G524" s="103"/>
      <c r="H524" s="103"/>
      <c r="I524" s="5"/>
    </row>
    <row r="525" spans="1:9" ht="15.75" customHeight="1" x14ac:dyDescent="0.2">
      <c r="A525" s="102"/>
      <c r="B525" s="102"/>
      <c r="C525" s="102"/>
      <c r="D525" s="103"/>
      <c r="E525" s="103"/>
      <c r="F525" s="103"/>
      <c r="G525" s="103"/>
      <c r="H525" s="103"/>
      <c r="I525" s="5"/>
    </row>
    <row r="526" spans="1:9" ht="15.75" customHeight="1" x14ac:dyDescent="0.2">
      <c r="A526" s="102"/>
      <c r="B526" s="102"/>
      <c r="C526" s="102"/>
      <c r="D526" s="103"/>
      <c r="E526" s="103"/>
      <c r="F526" s="103"/>
      <c r="G526" s="103"/>
      <c r="H526" s="103"/>
      <c r="I526" s="5"/>
    </row>
    <row r="527" spans="1:9" ht="15.75" customHeight="1" x14ac:dyDescent="0.2">
      <c r="A527" s="102"/>
      <c r="B527" s="102"/>
      <c r="C527" s="102"/>
      <c r="D527" s="103"/>
      <c r="E527" s="103"/>
      <c r="F527" s="103"/>
      <c r="G527" s="103"/>
      <c r="H527" s="103"/>
      <c r="I527" s="5"/>
    </row>
    <row r="528" spans="1:9" ht="15.75" customHeight="1" x14ac:dyDescent="0.2">
      <c r="A528" s="102"/>
      <c r="B528" s="102"/>
      <c r="C528" s="102"/>
      <c r="D528" s="103"/>
      <c r="E528" s="103"/>
      <c r="F528" s="103"/>
      <c r="G528" s="103"/>
      <c r="H528" s="103"/>
      <c r="I528" s="5"/>
    </row>
    <row r="529" spans="1:9" ht="15.75" customHeight="1" x14ac:dyDescent="0.2">
      <c r="A529" s="102"/>
      <c r="B529" s="102"/>
      <c r="C529" s="102"/>
      <c r="D529" s="103"/>
      <c r="E529" s="103"/>
      <c r="F529" s="103"/>
      <c r="G529" s="103"/>
      <c r="H529" s="103"/>
      <c r="I529" s="5"/>
    </row>
    <row r="530" spans="1:9" ht="15.75" customHeight="1" x14ac:dyDescent="0.2">
      <c r="A530" s="102"/>
      <c r="B530" s="102"/>
      <c r="C530" s="102"/>
      <c r="D530" s="103"/>
      <c r="E530" s="103"/>
      <c r="F530" s="103"/>
      <c r="G530" s="103"/>
      <c r="H530" s="103"/>
      <c r="I530" s="5"/>
    </row>
    <row r="531" spans="1:9" ht="15.75" customHeight="1" x14ac:dyDescent="0.2">
      <c r="A531" s="102"/>
      <c r="B531" s="102"/>
      <c r="C531" s="102"/>
      <c r="D531" s="103"/>
      <c r="E531" s="103"/>
      <c r="F531" s="103"/>
      <c r="G531" s="103"/>
      <c r="H531" s="103"/>
      <c r="I531" s="5"/>
    </row>
    <row r="532" spans="1:9" ht="15.75" customHeight="1" x14ac:dyDescent="0.2">
      <c r="A532" s="102"/>
      <c r="B532" s="102"/>
      <c r="C532" s="102"/>
      <c r="D532" s="103"/>
      <c r="E532" s="103"/>
      <c r="F532" s="103"/>
      <c r="G532" s="103"/>
      <c r="H532" s="103"/>
      <c r="I532" s="5"/>
    </row>
    <row r="533" spans="1:9" ht="15.75" customHeight="1" x14ac:dyDescent="0.2">
      <c r="A533" s="102"/>
      <c r="B533" s="102"/>
      <c r="C533" s="102"/>
      <c r="D533" s="103"/>
      <c r="E533" s="103"/>
      <c r="F533" s="103"/>
      <c r="G533" s="103"/>
      <c r="H533" s="103"/>
      <c r="I533" s="5"/>
    </row>
    <row r="534" spans="1:9" ht="15.75" customHeight="1" x14ac:dyDescent="0.2">
      <c r="A534" s="102"/>
      <c r="B534" s="102"/>
      <c r="C534" s="102"/>
      <c r="D534" s="103"/>
      <c r="E534" s="103"/>
      <c r="F534" s="103"/>
      <c r="G534" s="103"/>
      <c r="H534" s="103"/>
      <c r="I534" s="5"/>
    </row>
    <row r="535" spans="1:9" ht="15.75" customHeight="1" x14ac:dyDescent="0.2">
      <c r="A535" s="102"/>
      <c r="B535" s="102"/>
      <c r="C535" s="102"/>
      <c r="D535" s="103"/>
      <c r="E535" s="103"/>
      <c r="F535" s="103"/>
      <c r="G535" s="103"/>
      <c r="H535" s="103"/>
      <c r="I535" s="5"/>
    </row>
    <row r="536" spans="1:9" ht="15.75" customHeight="1" x14ac:dyDescent="0.2">
      <c r="A536" s="102"/>
      <c r="B536" s="102"/>
      <c r="C536" s="102"/>
      <c r="D536" s="103"/>
      <c r="E536" s="103"/>
      <c r="F536" s="103"/>
      <c r="G536" s="103"/>
      <c r="H536" s="103"/>
      <c r="I536" s="5"/>
    </row>
    <row r="537" spans="1:9" ht="15.75" customHeight="1" x14ac:dyDescent="0.2">
      <c r="A537" s="102"/>
      <c r="B537" s="102"/>
      <c r="C537" s="102"/>
      <c r="D537" s="103"/>
      <c r="E537" s="103"/>
      <c r="F537" s="103"/>
      <c r="G537" s="103"/>
      <c r="H537" s="103"/>
      <c r="I537" s="5"/>
    </row>
    <row r="538" spans="1:9" ht="15.75" customHeight="1" x14ac:dyDescent="0.2">
      <c r="A538" s="102"/>
      <c r="B538" s="102"/>
      <c r="C538" s="102"/>
      <c r="D538" s="103"/>
      <c r="E538" s="103"/>
      <c r="F538" s="103"/>
      <c r="G538" s="103"/>
      <c r="H538" s="103"/>
      <c r="I538" s="5"/>
    </row>
    <row r="539" spans="1:9" ht="15.75" customHeight="1" x14ac:dyDescent="0.2">
      <c r="A539" s="102"/>
      <c r="B539" s="102"/>
      <c r="C539" s="102"/>
      <c r="D539" s="103"/>
      <c r="E539" s="103"/>
      <c r="F539" s="103"/>
      <c r="G539" s="103"/>
      <c r="H539" s="103"/>
      <c r="I539" s="5"/>
    </row>
    <row r="540" spans="1:9" ht="15.75" customHeight="1" x14ac:dyDescent="0.2">
      <c r="A540" s="102"/>
      <c r="B540" s="102"/>
      <c r="C540" s="102"/>
      <c r="D540" s="103"/>
      <c r="E540" s="103"/>
      <c r="F540" s="103"/>
      <c r="G540" s="103"/>
      <c r="H540" s="103"/>
      <c r="I540" s="5"/>
    </row>
    <row r="541" spans="1:9" ht="15.75" customHeight="1" x14ac:dyDescent="0.2">
      <c r="A541" s="102"/>
      <c r="B541" s="102"/>
      <c r="C541" s="102"/>
      <c r="D541" s="103"/>
      <c r="E541" s="103"/>
      <c r="F541" s="103"/>
      <c r="G541" s="103"/>
      <c r="H541" s="103"/>
      <c r="I541" s="5"/>
    </row>
    <row r="542" spans="1:9" ht="15.75" customHeight="1" x14ac:dyDescent="0.2">
      <c r="A542" s="102"/>
      <c r="B542" s="102"/>
      <c r="C542" s="102"/>
      <c r="D542" s="103"/>
      <c r="E542" s="103"/>
      <c r="F542" s="103"/>
      <c r="G542" s="103"/>
      <c r="H542" s="103"/>
      <c r="I542" s="5"/>
    </row>
    <row r="543" spans="1:9" ht="15.75" customHeight="1" x14ac:dyDescent="0.2">
      <c r="A543" s="102"/>
      <c r="B543" s="102"/>
      <c r="C543" s="102"/>
      <c r="D543" s="103"/>
      <c r="E543" s="103"/>
      <c r="F543" s="103"/>
      <c r="G543" s="103"/>
      <c r="H543" s="103"/>
      <c r="I543" s="5"/>
    </row>
    <row r="544" spans="1:9" ht="15.75" customHeight="1" x14ac:dyDescent="0.2">
      <c r="A544" s="102"/>
      <c r="B544" s="102"/>
      <c r="C544" s="102"/>
      <c r="D544" s="103"/>
      <c r="E544" s="103"/>
      <c r="F544" s="103"/>
      <c r="G544" s="103"/>
      <c r="H544" s="103"/>
      <c r="I544" s="5"/>
    </row>
    <row r="545" spans="1:9" ht="15.75" customHeight="1" x14ac:dyDescent="0.2">
      <c r="A545" s="102"/>
      <c r="B545" s="102"/>
      <c r="C545" s="102"/>
      <c r="D545" s="103"/>
      <c r="E545" s="103"/>
      <c r="F545" s="103"/>
      <c r="G545" s="103"/>
      <c r="H545" s="103"/>
      <c r="I545" s="5"/>
    </row>
    <row r="546" spans="1:9" ht="15.75" customHeight="1" x14ac:dyDescent="0.2">
      <c r="A546" s="102"/>
      <c r="B546" s="102"/>
      <c r="C546" s="102"/>
      <c r="D546" s="103"/>
      <c r="E546" s="103"/>
      <c r="F546" s="103"/>
      <c r="G546" s="103"/>
      <c r="H546" s="103"/>
      <c r="I546" s="5"/>
    </row>
    <row r="547" spans="1:9" ht="15.75" customHeight="1" x14ac:dyDescent="0.2">
      <c r="A547" s="102"/>
      <c r="B547" s="102"/>
      <c r="C547" s="102"/>
      <c r="D547" s="103"/>
      <c r="E547" s="103"/>
      <c r="F547" s="103"/>
      <c r="G547" s="103"/>
      <c r="H547" s="103"/>
      <c r="I547" s="5"/>
    </row>
    <row r="548" spans="1:9" ht="15.75" customHeight="1" x14ac:dyDescent="0.2">
      <c r="A548" s="102"/>
      <c r="B548" s="102"/>
      <c r="C548" s="102"/>
      <c r="D548" s="103"/>
      <c r="E548" s="103"/>
      <c r="F548" s="103"/>
      <c r="G548" s="103"/>
      <c r="H548" s="103"/>
      <c r="I548" s="5"/>
    </row>
    <row r="549" spans="1:9" ht="15.75" customHeight="1" x14ac:dyDescent="0.2">
      <c r="A549" s="102"/>
      <c r="B549" s="102"/>
      <c r="C549" s="102"/>
      <c r="D549" s="103"/>
      <c r="E549" s="103"/>
      <c r="F549" s="103"/>
      <c r="G549" s="103"/>
      <c r="H549" s="103"/>
      <c r="I549" s="5"/>
    </row>
    <row r="550" spans="1:9" ht="15.75" customHeight="1" x14ac:dyDescent="0.2">
      <c r="A550" s="102"/>
      <c r="B550" s="102"/>
      <c r="C550" s="102"/>
      <c r="D550" s="103"/>
      <c r="E550" s="103"/>
      <c r="F550" s="103"/>
      <c r="G550" s="103"/>
      <c r="H550" s="103"/>
      <c r="I550" s="5"/>
    </row>
    <row r="551" spans="1:9" ht="15.75" customHeight="1" x14ac:dyDescent="0.2">
      <c r="A551" s="102"/>
      <c r="B551" s="102"/>
      <c r="C551" s="102"/>
      <c r="D551" s="103"/>
      <c r="E551" s="103"/>
      <c r="F551" s="103"/>
      <c r="G551" s="103"/>
      <c r="H551" s="103"/>
      <c r="I551" s="5"/>
    </row>
    <row r="552" spans="1:9" ht="15.75" customHeight="1" x14ac:dyDescent="0.2">
      <c r="A552" s="102"/>
      <c r="B552" s="102"/>
      <c r="C552" s="102"/>
      <c r="D552" s="103"/>
      <c r="E552" s="103"/>
      <c r="F552" s="103"/>
      <c r="G552" s="103"/>
      <c r="H552" s="103"/>
      <c r="I552" s="5"/>
    </row>
    <row r="553" spans="1:9" ht="15.75" customHeight="1" x14ac:dyDescent="0.2">
      <c r="A553" s="102"/>
      <c r="B553" s="102"/>
      <c r="C553" s="102"/>
      <c r="D553" s="103"/>
      <c r="E553" s="103"/>
      <c r="F553" s="103"/>
      <c r="G553" s="103"/>
      <c r="H553" s="103"/>
      <c r="I553" s="5"/>
    </row>
    <row r="554" spans="1:9" ht="15.75" customHeight="1" x14ac:dyDescent="0.2">
      <c r="A554" s="102"/>
      <c r="B554" s="102"/>
      <c r="C554" s="102"/>
      <c r="D554" s="103"/>
      <c r="E554" s="103"/>
      <c r="F554" s="103"/>
      <c r="G554" s="103"/>
      <c r="H554" s="103"/>
      <c r="I554" s="5"/>
    </row>
    <row r="555" spans="1:9" ht="15.75" customHeight="1" x14ac:dyDescent="0.2">
      <c r="A555" s="102"/>
      <c r="B555" s="102"/>
      <c r="C555" s="102"/>
      <c r="D555" s="103"/>
      <c r="E555" s="103"/>
      <c r="F555" s="103"/>
      <c r="G555" s="103"/>
      <c r="H555" s="103"/>
      <c r="I555" s="5"/>
    </row>
    <row r="556" spans="1:9" ht="15.75" customHeight="1" x14ac:dyDescent="0.2">
      <c r="A556" s="102"/>
      <c r="B556" s="102"/>
      <c r="C556" s="102"/>
      <c r="D556" s="103"/>
      <c r="E556" s="103"/>
      <c r="F556" s="103"/>
      <c r="G556" s="103"/>
      <c r="H556" s="103"/>
      <c r="I556" s="5"/>
    </row>
    <row r="557" spans="1:9" ht="15.75" customHeight="1" x14ac:dyDescent="0.2">
      <c r="A557" s="102"/>
      <c r="B557" s="102"/>
      <c r="C557" s="102"/>
      <c r="D557" s="103"/>
      <c r="E557" s="103"/>
      <c r="F557" s="103"/>
      <c r="G557" s="103"/>
      <c r="H557" s="103"/>
      <c r="I557" s="5"/>
    </row>
    <row r="558" spans="1:9" ht="15.75" customHeight="1" x14ac:dyDescent="0.2">
      <c r="A558" s="102"/>
      <c r="B558" s="102"/>
      <c r="C558" s="102"/>
      <c r="D558" s="103"/>
      <c r="E558" s="103"/>
      <c r="F558" s="103"/>
      <c r="G558" s="103"/>
      <c r="H558" s="103"/>
      <c r="I558" s="5"/>
    </row>
    <row r="559" spans="1:9" ht="15.75" customHeight="1" x14ac:dyDescent="0.2">
      <c r="A559" s="102"/>
      <c r="B559" s="102"/>
      <c r="C559" s="102"/>
      <c r="D559" s="103"/>
      <c r="E559" s="103"/>
      <c r="F559" s="103"/>
      <c r="G559" s="103"/>
      <c r="H559" s="103"/>
      <c r="I559" s="5"/>
    </row>
    <row r="560" spans="1:9" ht="15.75" customHeight="1" x14ac:dyDescent="0.2">
      <c r="A560" s="102"/>
      <c r="B560" s="102"/>
      <c r="C560" s="102"/>
      <c r="D560" s="103"/>
      <c r="E560" s="103"/>
      <c r="F560" s="103"/>
      <c r="G560" s="103"/>
      <c r="H560" s="103"/>
      <c r="I560" s="5"/>
    </row>
    <row r="561" spans="1:9" ht="15.75" customHeight="1" x14ac:dyDescent="0.2">
      <c r="A561" s="102"/>
      <c r="B561" s="102"/>
      <c r="C561" s="102"/>
      <c r="D561" s="103"/>
      <c r="E561" s="103"/>
      <c r="F561" s="103"/>
      <c r="G561" s="103"/>
      <c r="H561" s="103"/>
      <c r="I561" s="5"/>
    </row>
    <row r="562" spans="1:9" ht="15.75" customHeight="1" x14ac:dyDescent="0.2">
      <c r="A562" s="102"/>
      <c r="B562" s="102"/>
      <c r="C562" s="102"/>
      <c r="D562" s="103"/>
      <c r="E562" s="103"/>
      <c r="F562" s="103"/>
      <c r="G562" s="103"/>
      <c r="H562" s="103"/>
      <c r="I562" s="5"/>
    </row>
    <row r="563" spans="1:9" ht="15.75" customHeight="1" x14ac:dyDescent="0.2">
      <c r="A563" s="102"/>
      <c r="B563" s="102"/>
      <c r="C563" s="102"/>
      <c r="D563" s="103"/>
      <c r="E563" s="103"/>
      <c r="F563" s="103"/>
      <c r="G563" s="103"/>
      <c r="H563" s="103"/>
      <c r="I563" s="5"/>
    </row>
    <row r="564" spans="1:9" ht="15.75" customHeight="1" x14ac:dyDescent="0.2">
      <c r="A564" s="102"/>
      <c r="B564" s="102"/>
      <c r="C564" s="102"/>
      <c r="D564" s="103"/>
      <c r="E564" s="103"/>
      <c r="F564" s="103"/>
      <c r="G564" s="103"/>
      <c r="H564" s="103"/>
      <c r="I564" s="5"/>
    </row>
    <row r="565" spans="1:9" ht="15.75" customHeight="1" x14ac:dyDescent="0.2">
      <c r="A565" s="102"/>
      <c r="B565" s="102"/>
      <c r="C565" s="102"/>
      <c r="D565" s="103"/>
      <c r="E565" s="103"/>
      <c r="F565" s="103"/>
      <c r="G565" s="103"/>
      <c r="H565" s="103"/>
      <c r="I565" s="5"/>
    </row>
    <row r="566" spans="1:9" ht="15.75" customHeight="1" x14ac:dyDescent="0.2">
      <c r="A566" s="102"/>
      <c r="B566" s="102"/>
      <c r="C566" s="102"/>
      <c r="D566" s="103"/>
      <c r="E566" s="103"/>
      <c r="F566" s="103"/>
      <c r="G566" s="103"/>
      <c r="H566" s="103"/>
      <c r="I566" s="5"/>
    </row>
    <row r="567" spans="1:9" ht="15.75" customHeight="1" x14ac:dyDescent="0.2">
      <c r="A567" s="102"/>
      <c r="B567" s="102"/>
      <c r="C567" s="102"/>
      <c r="D567" s="103"/>
      <c r="E567" s="103"/>
      <c r="F567" s="103"/>
      <c r="G567" s="103"/>
      <c r="H567" s="103"/>
      <c r="I567" s="5"/>
    </row>
    <row r="568" spans="1:9" ht="15.75" customHeight="1" x14ac:dyDescent="0.2">
      <c r="A568" s="102"/>
      <c r="B568" s="102"/>
      <c r="C568" s="102"/>
      <c r="D568" s="103"/>
      <c r="E568" s="103"/>
      <c r="F568" s="103"/>
      <c r="G568" s="103"/>
      <c r="H568" s="103"/>
      <c r="I568" s="5"/>
    </row>
    <row r="569" spans="1:9" ht="15.75" customHeight="1" x14ac:dyDescent="0.2">
      <c r="A569" s="102"/>
      <c r="B569" s="102"/>
      <c r="C569" s="102"/>
      <c r="D569" s="103"/>
      <c r="E569" s="103"/>
      <c r="F569" s="103"/>
      <c r="G569" s="103"/>
      <c r="H569" s="103"/>
      <c r="I569" s="5"/>
    </row>
    <row r="570" spans="1:9" ht="15.75" customHeight="1" x14ac:dyDescent="0.2">
      <c r="A570" s="102"/>
      <c r="B570" s="102"/>
      <c r="C570" s="102"/>
      <c r="D570" s="103"/>
      <c r="E570" s="103"/>
      <c r="F570" s="103"/>
      <c r="G570" s="103"/>
      <c r="H570" s="103"/>
      <c r="I570" s="5"/>
    </row>
    <row r="571" spans="1:9" ht="15.75" customHeight="1" x14ac:dyDescent="0.2">
      <c r="A571" s="102"/>
      <c r="B571" s="102"/>
      <c r="C571" s="102"/>
      <c r="D571" s="103"/>
      <c r="E571" s="103"/>
      <c r="F571" s="103"/>
      <c r="G571" s="103"/>
      <c r="H571" s="103"/>
      <c r="I571" s="5"/>
    </row>
    <row r="572" spans="1:9" ht="15.75" customHeight="1" x14ac:dyDescent="0.2">
      <c r="A572" s="102"/>
      <c r="B572" s="102"/>
      <c r="C572" s="102"/>
      <c r="D572" s="103"/>
      <c r="E572" s="103"/>
      <c r="F572" s="103"/>
      <c r="G572" s="103"/>
      <c r="H572" s="103"/>
      <c r="I572" s="5"/>
    </row>
    <row r="573" spans="1:9" ht="15.75" customHeight="1" x14ac:dyDescent="0.2">
      <c r="A573" s="102"/>
      <c r="B573" s="102"/>
      <c r="C573" s="102"/>
      <c r="D573" s="103"/>
      <c r="E573" s="103"/>
      <c r="F573" s="103"/>
      <c r="G573" s="103"/>
      <c r="H573" s="103"/>
      <c r="I573" s="5"/>
    </row>
    <row r="574" spans="1:9" ht="15.75" customHeight="1" x14ac:dyDescent="0.2">
      <c r="A574" s="102"/>
      <c r="B574" s="102"/>
      <c r="C574" s="102"/>
      <c r="D574" s="103"/>
      <c r="E574" s="103"/>
      <c r="F574" s="103"/>
      <c r="G574" s="103"/>
      <c r="H574" s="103"/>
      <c r="I574" s="5"/>
    </row>
    <row r="575" spans="1:9" ht="15.75" customHeight="1" x14ac:dyDescent="0.2">
      <c r="A575" s="102"/>
      <c r="B575" s="102"/>
      <c r="C575" s="102"/>
      <c r="D575" s="103"/>
      <c r="E575" s="103"/>
      <c r="F575" s="103"/>
      <c r="G575" s="103"/>
      <c r="H575" s="103"/>
      <c r="I575" s="5"/>
    </row>
    <row r="576" spans="1:9" ht="15.75" customHeight="1" x14ac:dyDescent="0.2">
      <c r="A576" s="102"/>
      <c r="B576" s="102"/>
      <c r="C576" s="102"/>
      <c r="D576" s="103"/>
      <c r="E576" s="103"/>
      <c r="F576" s="103"/>
      <c r="G576" s="103"/>
      <c r="H576" s="103"/>
      <c r="I576" s="5"/>
    </row>
    <row r="577" spans="1:9" ht="15.75" customHeight="1" x14ac:dyDescent="0.2">
      <c r="A577" s="102"/>
      <c r="B577" s="102"/>
      <c r="C577" s="102"/>
      <c r="D577" s="103"/>
      <c r="E577" s="103"/>
      <c r="F577" s="103"/>
      <c r="G577" s="103"/>
      <c r="H577" s="103"/>
      <c r="I577" s="5"/>
    </row>
    <row r="578" spans="1:9" ht="15.75" customHeight="1" x14ac:dyDescent="0.2">
      <c r="A578" s="102"/>
      <c r="B578" s="102"/>
      <c r="C578" s="102"/>
      <c r="D578" s="103"/>
      <c r="E578" s="103"/>
      <c r="F578" s="103"/>
      <c r="G578" s="103"/>
      <c r="H578" s="103"/>
      <c r="I578" s="5"/>
    </row>
    <row r="579" spans="1:9" ht="15.75" customHeight="1" x14ac:dyDescent="0.2">
      <c r="A579" s="102"/>
      <c r="B579" s="102"/>
      <c r="C579" s="102"/>
      <c r="D579" s="103"/>
      <c r="E579" s="103"/>
      <c r="F579" s="103"/>
      <c r="G579" s="103"/>
      <c r="H579" s="103"/>
      <c r="I579" s="5"/>
    </row>
    <row r="580" spans="1:9" ht="15.75" customHeight="1" x14ac:dyDescent="0.2">
      <c r="A580" s="102"/>
      <c r="B580" s="102"/>
      <c r="C580" s="102"/>
      <c r="D580" s="103"/>
      <c r="E580" s="103"/>
      <c r="F580" s="103"/>
      <c r="G580" s="103"/>
      <c r="H580" s="103"/>
      <c r="I580" s="5"/>
    </row>
    <row r="581" spans="1:9" ht="15.75" customHeight="1" x14ac:dyDescent="0.2">
      <c r="A581" s="102"/>
      <c r="B581" s="102"/>
      <c r="C581" s="102"/>
      <c r="D581" s="103"/>
      <c r="E581" s="103"/>
      <c r="F581" s="103"/>
      <c r="G581" s="103"/>
      <c r="H581" s="103"/>
      <c r="I581" s="5"/>
    </row>
    <row r="582" spans="1:9" ht="15.75" customHeight="1" x14ac:dyDescent="0.2">
      <c r="A582" s="102"/>
      <c r="B582" s="102"/>
      <c r="C582" s="102"/>
      <c r="D582" s="103"/>
      <c r="E582" s="103"/>
      <c r="F582" s="103"/>
      <c r="G582" s="103"/>
      <c r="H582" s="103"/>
      <c r="I582" s="5"/>
    </row>
    <row r="583" spans="1:9" ht="15.75" customHeight="1" x14ac:dyDescent="0.2">
      <c r="A583" s="102"/>
      <c r="B583" s="102"/>
      <c r="C583" s="102"/>
      <c r="D583" s="103"/>
      <c r="E583" s="103"/>
      <c r="F583" s="103"/>
      <c r="G583" s="103"/>
      <c r="H583" s="103"/>
      <c r="I583" s="5"/>
    </row>
    <row r="584" spans="1:9" ht="15.75" customHeight="1" x14ac:dyDescent="0.2">
      <c r="A584" s="102"/>
      <c r="B584" s="102"/>
      <c r="C584" s="102"/>
      <c r="D584" s="103"/>
      <c r="E584" s="103"/>
      <c r="F584" s="103"/>
      <c r="G584" s="103"/>
      <c r="H584" s="103"/>
      <c r="I584" s="5"/>
    </row>
    <row r="585" spans="1:9" ht="15.75" customHeight="1" x14ac:dyDescent="0.2">
      <c r="A585" s="102"/>
      <c r="B585" s="102"/>
      <c r="C585" s="102"/>
      <c r="D585" s="103"/>
      <c r="E585" s="103"/>
      <c r="F585" s="103"/>
      <c r="G585" s="103"/>
      <c r="H585" s="103"/>
      <c r="I585" s="5"/>
    </row>
    <row r="586" spans="1:9" ht="15.75" customHeight="1" x14ac:dyDescent="0.2">
      <c r="A586" s="102"/>
      <c r="B586" s="102"/>
      <c r="C586" s="102"/>
      <c r="D586" s="103"/>
      <c r="E586" s="103"/>
      <c r="F586" s="103"/>
      <c r="G586" s="103"/>
      <c r="H586" s="103"/>
      <c r="I586" s="5"/>
    </row>
    <row r="587" spans="1:9" ht="15.75" customHeight="1" x14ac:dyDescent="0.2">
      <c r="A587" s="102"/>
      <c r="B587" s="102"/>
      <c r="C587" s="102"/>
      <c r="D587" s="103"/>
      <c r="E587" s="103"/>
      <c r="F587" s="103"/>
      <c r="G587" s="103"/>
      <c r="H587" s="103"/>
      <c r="I587" s="5"/>
    </row>
    <row r="588" spans="1:9" ht="15.75" customHeight="1" x14ac:dyDescent="0.2">
      <c r="A588" s="102"/>
      <c r="B588" s="102"/>
      <c r="C588" s="102"/>
      <c r="D588" s="103"/>
      <c r="E588" s="103"/>
      <c r="F588" s="103"/>
      <c r="G588" s="103"/>
      <c r="H588" s="103"/>
      <c r="I588" s="5"/>
    </row>
    <row r="589" spans="1:9" ht="15.75" customHeight="1" x14ac:dyDescent="0.2">
      <c r="A589" s="102"/>
      <c r="B589" s="102"/>
      <c r="C589" s="102"/>
      <c r="D589" s="103"/>
      <c r="E589" s="103"/>
      <c r="F589" s="103"/>
      <c r="G589" s="103"/>
      <c r="H589" s="103"/>
      <c r="I589" s="5"/>
    </row>
    <row r="590" spans="1:9" ht="15.75" customHeight="1" x14ac:dyDescent="0.2">
      <c r="A590" s="102"/>
      <c r="B590" s="102"/>
      <c r="C590" s="102"/>
      <c r="D590" s="103"/>
      <c r="E590" s="103"/>
      <c r="F590" s="103"/>
      <c r="G590" s="103"/>
      <c r="H590" s="103"/>
      <c r="I590" s="5"/>
    </row>
    <row r="591" spans="1:9" ht="15.75" customHeight="1" x14ac:dyDescent="0.2">
      <c r="A591" s="102"/>
      <c r="B591" s="102"/>
      <c r="C591" s="102"/>
      <c r="D591" s="103"/>
      <c r="E591" s="103"/>
      <c r="F591" s="103"/>
      <c r="G591" s="103"/>
      <c r="H591" s="103"/>
      <c r="I591" s="5"/>
    </row>
    <row r="592" spans="1:9" ht="15.75" customHeight="1" x14ac:dyDescent="0.2">
      <c r="A592" s="102"/>
      <c r="B592" s="102"/>
      <c r="C592" s="102"/>
      <c r="D592" s="103"/>
      <c r="E592" s="103"/>
      <c r="F592" s="103"/>
      <c r="G592" s="103"/>
      <c r="H592" s="103"/>
      <c r="I592" s="5"/>
    </row>
    <row r="593" spans="1:9" ht="15.75" customHeight="1" x14ac:dyDescent="0.2">
      <c r="A593" s="102"/>
      <c r="B593" s="102"/>
      <c r="C593" s="102"/>
      <c r="D593" s="103"/>
      <c r="E593" s="103"/>
      <c r="F593" s="103"/>
      <c r="G593" s="103"/>
      <c r="H593" s="103"/>
      <c r="I593" s="5"/>
    </row>
    <row r="594" spans="1:9" ht="15.75" customHeight="1" x14ac:dyDescent="0.2">
      <c r="A594" s="102"/>
      <c r="B594" s="102"/>
      <c r="C594" s="102"/>
      <c r="D594" s="103"/>
      <c r="E594" s="103"/>
      <c r="F594" s="103"/>
      <c r="G594" s="103"/>
      <c r="H594" s="103"/>
      <c r="I594" s="5"/>
    </row>
    <row r="595" spans="1:9" ht="15.75" customHeight="1" x14ac:dyDescent="0.2">
      <c r="A595" s="102"/>
      <c r="B595" s="102"/>
      <c r="C595" s="102"/>
      <c r="D595" s="103"/>
      <c r="E595" s="103"/>
      <c r="F595" s="103"/>
      <c r="G595" s="103"/>
      <c r="H595" s="103"/>
      <c r="I595" s="5"/>
    </row>
    <row r="596" spans="1:9" ht="15.75" customHeight="1" x14ac:dyDescent="0.2">
      <c r="A596" s="102"/>
      <c r="B596" s="102"/>
      <c r="C596" s="102"/>
      <c r="D596" s="103"/>
      <c r="E596" s="103"/>
      <c r="F596" s="103"/>
      <c r="G596" s="103"/>
      <c r="H596" s="103"/>
      <c r="I596" s="5"/>
    </row>
    <row r="597" spans="1:9" ht="15.75" customHeight="1" x14ac:dyDescent="0.2">
      <c r="A597" s="102"/>
      <c r="B597" s="102"/>
      <c r="C597" s="102"/>
      <c r="D597" s="103"/>
      <c r="E597" s="103"/>
      <c r="F597" s="103"/>
      <c r="G597" s="103"/>
      <c r="H597" s="103"/>
      <c r="I597" s="5"/>
    </row>
    <row r="598" spans="1:9" ht="15.75" customHeight="1" x14ac:dyDescent="0.2">
      <c r="A598" s="102"/>
      <c r="B598" s="102"/>
      <c r="C598" s="102"/>
      <c r="D598" s="103"/>
      <c r="E598" s="103"/>
      <c r="F598" s="103"/>
      <c r="G598" s="103"/>
      <c r="H598" s="103"/>
      <c r="I598" s="5"/>
    </row>
    <row r="599" spans="1:9" ht="15.75" customHeight="1" x14ac:dyDescent="0.2">
      <c r="A599" s="102"/>
      <c r="B599" s="102"/>
      <c r="C599" s="102"/>
      <c r="D599" s="103"/>
      <c r="E599" s="103"/>
      <c r="F599" s="103"/>
      <c r="G599" s="103"/>
      <c r="H599" s="103"/>
      <c r="I599" s="5"/>
    </row>
    <row r="600" spans="1:9" ht="15.75" customHeight="1" x14ac:dyDescent="0.2">
      <c r="A600" s="102"/>
      <c r="B600" s="102"/>
      <c r="C600" s="102"/>
      <c r="D600" s="103"/>
      <c r="E600" s="103"/>
      <c r="F600" s="103"/>
      <c r="G600" s="103"/>
      <c r="H600" s="103"/>
      <c r="I600" s="5"/>
    </row>
    <row r="601" spans="1:9" ht="15.75" customHeight="1" x14ac:dyDescent="0.2">
      <c r="A601" s="102"/>
      <c r="B601" s="102"/>
      <c r="C601" s="102"/>
      <c r="D601" s="103"/>
      <c r="E601" s="103"/>
      <c r="F601" s="103"/>
      <c r="G601" s="103"/>
      <c r="H601" s="103"/>
      <c r="I601" s="5"/>
    </row>
    <row r="602" spans="1:9" ht="15.75" customHeight="1" x14ac:dyDescent="0.2">
      <c r="A602" s="102"/>
      <c r="B602" s="102"/>
      <c r="C602" s="102"/>
      <c r="D602" s="103"/>
      <c r="E602" s="103"/>
      <c r="F602" s="103"/>
      <c r="G602" s="103"/>
      <c r="H602" s="103"/>
      <c r="I602" s="5"/>
    </row>
    <row r="603" spans="1:9" ht="15.75" customHeight="1" x14ac:dyDescent="0.2">
      <c r="A603" s="102"/>
      <c r="B603" s="102"/>
      <c r="C603" s="102"/>
      <c r="D603" s="103"/>
      <c r="E603" s="103"/>
      <c r="F603" s="103"/>
      <c r="G603" s="103"/>
      <c r="H603" s="103"/>
      <c r="I603" s="5"/>
    </row>
    <row r="604" spans="1:9" ht="15.75" customHeight="1" x14ac:dyDescent="0.2">
      <c r="A604" s="102"/>
      <c r="B604" s="102"/>
      <c r="C604" s="102"/>
      <c r="D604" s="103"/>
      <c r="E604" s="103"/>
      <c r="F604" s="103"/>
      <c r="G604" s="103"/>
      <c r="H604" s="103"/>
      <c r="I604" s="5"/>
    </row>
    <row r="605" spans="1:9" ht="15.75" customHeight="1" x14ac:dyDescent="0.2">
      <c r="A605" s="102"/>
      <c r="B605" s="102"/>
      <c r="C605" s="102"/>
      <c r="D605" s="103"/>
      <c r="E605" s="103"/>
      <c r="F605" s="103"/>
      <c r="G605" s="103"/>
      <c r="H605" s="103"/>
      <c r="I605" s="5"/>
    </row>
    <row r="606" spans="1:9" ht="15.75" customHeight="1" x14ac:dyDescent="0.2">
      <c r="A606" s="102"/>
      <c r="B606" s="102"/>
      <c r="C606" s="102"/>
      <c r="D606" s="103"/>
      <c r="E606" s="103"/>
      <c r="F606" s="103"/>
      <c r="G606" s="103"/>
      <c r="H606" s="103"/>
      <c r="I606" s="5"/>
    </row>
    <row r="607" spans="1:9" ht="15.75" customHeight="1" x14ac:dyDescent="0.2">
      <c r="A607" s="102"/>
      <c r="B607" s="102"/>
      <c r="C607" s="102"/>
      <c r="D607" s="103"/>
      <c r="E607" s="103"/>
      <c r="F607" s="103"/>
      <c r="G607" s="103"/>
      <c r="H607" s="103"/>
      <c r="I607" s="5"/>
    </row>
    <row r="608" spans="1:9" ht="15.75" customHeight="1" x14ac:dyDescent="0.2">
      <c r="A608" s="102"/>
      <c r="B608" s="102"/>
      <c r="C608" s="102"/>
      <c r="D608" s="103"/>
      <c r="E608" s="103"/>
      <c r="F608" s="103"/>
      <c r="G608" s="103"/>
      <c r="H608" s="103"/>
      <c r="I608" s="5"/>
    </row>
    <row r="609" spans="1:9" ht="15.75" customHeight="1" x14ac:dyDescent="0.2">
      <c r="A609" s="102"/>
      <c r="B609" s="102"/>
      <c r="C609" s="102"/>
      <c r="D609" s="103"/>
      <c r="E609" s="103"/>
      <c r="F609" s="103"/>
      <c r="G609" s="103"/>
      <c r="H609" s="103"/>
      <c r="I609" s="5"/>
    </row>
    <row r="610" spans="1:9" ht="15.75" customHeight="1" x14ac:dyDescent="0.2">
      <c r="A610" s="102"/>
      <c r="B610" s="102"/>
      <c r="C610" s="102"/>
      <c r="D610" s="103"/>
      <c r="E610" s="103"/>
      <c r="F610" s="103"/>
      <c r="G610" s="103"/>
      <c r="H610" s="103"/>
      <c r="I610" s="5"/>
    </row>
    <row r="611" spans="1:9" ht="15.75" customHeight="1" x14ac:dyDescent="0.2">
      <c r="A611" s="102"/>
      <c r="B611" s="102"/>
      <c r="C611" s="102"/>
      <c r="D611" s="103"/>
      <c r="E611" s="103"/>
      <c r="F611" s="103"/>
      <c r="G611" s="103"/>
      <c r="H611" s="103"/>
      <c r="I611" s="5"/>
    </row>
    <row r="612" spans="1:9" ht="15.75" customHeight="1" x14ac:dyDescent="0.2">
      <c r="A612" s="102"/>
      <c r="B612" s="102"/>
      <c r="C612" s="102"/>
      <c r="D612" s="103"/>
      <c r="E612" s="103"/>
      <c r="F612" s="103"/>
      <c r="G612" s="103"/>
      <c r="H612" s="103"/>
      <c r="I612" s="5"/>
    </row>
    <row r="613" spans="1:9" ht="15.75" customHeight="1" x14ac:dyDescent="0.2">
      <c r="A613" s="102"/>
      <c r="B613" s="102"/>
      <c r="C613" s="102"/>
      <c r="D613" s="103"/>
      <c r="E613" s="103"/>
      <c r="F613" s="103"/>
      <c r="G613" s="103"/>
      <c r="H613" s="103"/>
      <c r="I613" s="5"/>
    </row>
    <row r="614" spans="1:9" ht="15.75" customHeight="1" x14ac:dyDescent="0.2">
      <c r="A614" s="102"/>
      <c r="B614" s="102"/>
      <c r="C614" s="102"/>
      <c r="D614" s="103"/>
      <c r="E614" s="103"/>
      <c r="F614" s="103"/>
      <c r="G614" s="103"/>
      <c r="H614" s="103"/>
      <c r="I614" s="5"/>
    </row>
    <row r="615" spans="1:9" ht="15.75" customHeight="1" x14ac:dyDescent="0.2">
      <c r="A615" s="102"/>
      <c r="B615" s="102"/>
      <c r="C615" s="102"/>
      <c r="D615" s="103"/>
      <c r="E615" s="103"/>
      <c r="F615" s="103"/>
      <c r="G615" s="103"/>
      <c r="H615" s="103"/>
      <c r="I615" s="5"/>
    </row>
    <row r="616" spans="1:9" ht="15.75" customHeight="1" x14ac:dyDescent="0.2">
      <c r="A616" s="102"/>
      <c r="B616" s="102"/>
      <c r="C616" s="102"/>
      <c r="D616" s="103"/>
      <c r="E616" s="103"/>
      <c r="F616" s="103"/>
      <c r="G616" s="103"/>
      <c r="H616" s="103"/>
      <c r="I616" s="5"/>
    </row>
    <row r="617" spans="1:9" ht="15.75" customHeight="1" x14ac:dyDescent="0.2">
      <c r="A617" s="102"/>
      <c r="B617" s="102"/>
      <c r="C617" s="102"/>
      <c r="D617" s="103"/>
      <c r="E617" s="103"/>
      <c r="F617" s="103"/>
      <c r="G617" s="103"/>
      <c r="H617" s="103"/>
      <c r="I617" s="5"/>
    </row>
    <row r="618" spans="1:9" ht="15.75" customHeight="1" x14ac:dyDescent="0.2">
      <c r="A618" s="102"/>
      <c r="B618" s="102"/>
      <c r="C618" s="102"/>
      <c r="D618" s="103"/>
      <c r="E618" s="103"/>
      <c r="F618" s="103"/>
      <c r="G618" s="103"/>
      <c r="H618" s="103"/>
      <c r="I618" s="5"/>
    </row>
    <row r="619" spans="1:9" ht="15.75" customHeight="1" x14ac:dyDescent="0.2">
      <c r="A619" s="102"/>
      <c r="B619" s="102"/>
      <c r="C619" s="102"/>
      <c r="D619" s="103"/>
      <c r="E619" s="103"/>
      <c r="F619" s="103"/>
      <c r="G619" s="103"/>
      <c r="H619" s="103"/>
      <c r="I619" s="5"/>
    </row>
    <row r="620" spans="1:9" ht="15.75" customHeight="1" x14ac:dyDescent="0.2">
      <c r="A620" s="102"/>
      <c r="B620" s="102"/>
      <c r="C620" s="102"/>
      <c r="D620" s="103"/>
      <c r="E620" s="103"/>
      <c r="F620" s="103"/>
      <c r="G620" s="103"/>
      <c r="H620" s="103"/>
      <c r="I620" s="5"/>
    </row>
    <row r="621" spans="1:9" ht="15.75" customHeight="1" x14ac:dyDescent="0.2">
      <c r="A621" s="102"/>
      <c r="B621" s="102"/>
      <c r="C621" s="102"/>
      <c r="D621" s="103"/>
      <c r="E621" s="103"/>
      <c r="F621" s="103"/>
      <c r="G621" s="103"/>
      <c r="H621" s="103"/>
      <c r="I621" s="5"/>
    </row>
    <row r="622" spans="1:9" ht="15.75" customHeight="1" x14ac:dyDescent="0.2">
      <c r="A622" s="102"/>
      <c r="B622" s="102"/>
      <c r="C622" s="102"/>
      <c r="D622" s="103"/>
      <c r="E622" s="103"/>
      <c r="F622" s="103"/>
      <c r="G622" s="103"/>
      <c r="H622" s="103"/>
      <c r="I622" s="5"/>
    </row>
    <row r="623" spans="1:9" ht="15.75" customHeight="1" x14ac:dyDescent="0.2">
      <c r="A623" s="102"/>
      <c r="B623" s="102"/>
      <c r="C623" s="102"/>
      <c r="D623" s="103"/>
      <c r="E623" s="103"/>
      <c r="F623" s="103"/>
      <c r="G623" s="103"/>
      <c r="H623" s="103"/>
      <c r="I623" s="5"/>
    </row>
    <row r="624" spans="1:9" ht="15.75" customHeight="1" x14ac:dyDescent="0.2">
      <c r="A624" s="102"/>
      <c r="B624" s="102"/>
      <c r="C624" s="102"/>
      <c r="D624" s="103"/>
      <c r="E624" s="103"/>
      <c r="F624" s="103"/>
      <c r="G624" s="103"/>
      <c r="H624" s="103"/>
      <c r="I624" s="5"/>
    </row>
    <row r="625" spans="1:9" ht="15.75" customHeight="1" x14ac:dyDescent="0.2">
      <c r="A625" s="102"/>
      <c r="B625" s="102"/>
      <c r="C625" s="102"/>
      <c r="D625" s="103"/>
      <c r="E625" s="103"/>
      <c r="F625" s="103"/>
      <c r="G625" s="103"/>
      <c r="H625" s="103"/>
      <c r="I625" s="5"/>
    </row>
    <row r="626" spans="1:9" ht="15.75" customHeight="1" x14ac:dyDescent="0.2">
      <c r="A626" s="102"/>
      <c r="B626" s="102"/>
      <c r="C626" s="102"/>
      <c r="D626" s="103"/>
      <c r="E626" s="103"/>
      <c r="F626" s="103"/>
      <c r="G626" s="103"/>
      <c r="H626" s="103"/>
      <c r="I626" s="5"/>
    </row>
    <row r="627" spans="1:9" ht="15.75" customHeight="1" x14ac:dyDescent="0.2">
      <c r="A627" s="102"/>
      <c r="B627" s="102"/>
      <c r="C627" s="102"/>
      <c r="D627" s="103"/>
      <c r="E627" s="103"/>
      <c r="F627" s="103"/>
      <c r="G627" s="103"/>
      <c r="H627" s="103"/>
      <c r="I627" s="5"/>
    </row>
    <row r="628" spans="1:9" ht="15.75" customHeight="1" x14ac:dyDescent="0.2">
      <c r="A628" s="102"/>
      <c r="B628" s="102"/>
      <c r="C628" s="102"/>
      <c r="D628" s="103"/>
      <c r="E628" s="103"/>
      <c r="F628" s="103"/>
      <c r="G628" s="103"/>
      <c r="H628" s="103"/>
      <c r="I628" s="5"/>
    </row>
    <row r="629" spans="1:9" ht="15.75" customHeight="1" x14ac:dyDescent="0.2">
      <c r="A629" s="102"/>
      <c r="B629" s="102"/>
      <c r="C629" s="102"/>
      <c r="D629" s="103"/>
      <c r="E629" s="103"/>
      <c r="F629" s="103"/>
      <c r="G629" s="103"/>
      <c r="H629" s="103"/>
      <c r="I629" s="5"/>
    </row>
    <row r="630" spans="1:9" ht="15.75" customHeight="1" x14ac:dyDescent="0.2">
      <c r="A630" s="102"/>
      <c r="B630" s="102"/>
      <c r="C630" s="102"/>
      <c r="D630" s="103"/>
      <c r="E630" s="103"/>
      <c r="F630" s="103"/>
      <c r="G630" s="103"/>
      <c r="H630" s="103"/>
      <c r="I630" s="5"/>
    </row>
    <row r="631" spans="1:9" ht="15.75" customHeight="1" x14ac:dyDescent="0.2">
      <c r="A631" s="102"/>
      <c r="B631" s="102"/>
      <c r="C631" s="102"/>
      <c r="D631" s="103"/>
      <c r="E631" s="103"/>
      <c r="F631" s="103"/>
      <c r="G631" s="103"/>
      <c r="H631" s="103"/>
      <c r="I631" s="5"/>
    </row>
    <row r="632" spans="1:9" ht="15.75" customHeight="1" x14ac:dyDescent="0.2">
      <c r="A632" s="102"/>
      <c r="B632" s="102"/>
      <c r="C632" s="102"/>
      <c r="D632" s="103"/>
      <c r="E632" s="103"/>
      <c r="F632" s="103"/>
      <c r="G632" s="103"/>
      <c r="H632" s="103"/>
      <c r="I632" s="5"/>
    </row>
    <row r="633" spans="1:9" ht="15.75" customHeight="1" x14ac:dyDescent="0.2">
      <c r="A633" s="102"/>
      <c r="B633" s="102"/>
      <c r="C633" s="102"/>
      <c r="D633" s="103"/>
      <c r="E633" s="103"/>
      <c r="F633" s="103"/>
      <c r="G633" s="103"/>
      <c r="H633" s="103"/>
      <c r="I633" s="5"/>
    </row>
    <row r="634" spans="1:9" ht="15.75" customHeight="1" x14ac:dyDescent="0.2">
      <c r="A634" s="102"/>
      <c r="B634" s="102"/>
      <c r="C634" s="102"/>
      <c r="D634" s="103"/>
      <c r="E634" s="103"/>
      <c r="F634" s="103"/>
      <c r="G634" s="103"/>
      <c r="H634" s="103"/>
      <c r="I634" s="5"/>
    </row>
    <row r="635" spans="1:9" ht="15.75" customHeight="1" x14ac:dyDescent="0.2">
      <c r="A635" s="102"/>
      <c r="B635" s="102"/>
      <c r="C635" s="102"/>
      <c r="D635" s="103"/>
      <c r="E635" s="103"/>
      <c r="F635" s="103"/>
      <c r="G635" s="103"/>
      <c r="H635" s="103"/>
      <c r="I635" s="5"/>
    </row>
    <row r="636" spans="1:9" ht="15.75" customHeight="1" x14ac:dyDescent="0.2">
      <c r="A636" s="102"/>
      <c r="B636" s="102"/>
      <c r="C636" s="102"/>
      <c r="D636" s="103"/>
      <c r="E636" s="103"/>
      <c r="F636" s="103"/>
      <c r="G636" s="103"/>
      <c r="H636" s="103"/>
      <c r="I636" s="5"/>
    </row>
    <row r="637" spans="1:9" ht="15.75" customHeight="1" x14ac:dyDescent="0.2">
      <c r="A637" s="102"/>
      <c r="B637" s="102"/>
      <c r="C637" s="102"/>
      <c r="D637" s="103"/>
      <c r="E637" s="103"/>
      <c r="F637" s="103"/>
      <c r="G637" s="103"/>
      <c r="H637" s="103"/>
      <c r="I637" s="5"/>
    </row>
    <row r="638" spans="1:9" ht="15.75" customHeight="1" x14ac:dyDescent="0.2">
      <c r="A638" s="102"/>
      <c r="B638" s="102"/>
      <c r="C638" s="102"/>
      <c r="D638" s="103"/>
      <c r="E638" s="103"/>
      <c r="F638" s="103"/>
      <c r="G638" s="103"/>
      <c r="H638" s="103"/>
      <c r="I638" s="5"/>
    </row>
    <row r="639" spans="1:9" ht="15.75" customHeight="1" x14ac:dyDescent="0.2">
      <c r="A639" s="102"/>
      <c r="B639" s="102"/>
      <c r="C639" s="102"/>
      <c r="D639" s="103"/>
      <c r="E639" s="103"/>
      <c r="F639" s="103"/>
      <c r="G639" s="103"/>
      <c r="H639" s="103"/>
      <c r="I639" s="5"/>
    </row>
    <row r="640" spans="1:9" ht="15.75" customHeight="1" x14ac:dyDescent="0.2">
      <c r="A640" s="102"/>
      <c r="B640" s="102"/>
      <c r="C640" s="102"/>
      <c r="D640" s="103"/>
      <c r="E640" s="103"/>
      <c r="F640" s="103"/>
      <c r="G640" s="103"/>
      <c r="H640" s="103"/>
      <c r="I640" s="5"/>
    </row>
    <row r="641" spans="1:9" ht="15.75" customHeight="1" x14ac:dyDescent="0.2">
      <c r="A641" s="102"/>
      <c r="B641" s="102"/>
      <c r="C641" s="102"/>
      <c r="D641" s="103"/>
      <c r="E641" s="103"/>
      <c r="F641" s="103"/>
      <c r="G641" s="103"/>
      <c r="H641" s="103"/>
      <c r="I641" s="5"/>
    </row>
    <row r="642" spans="1:9" ht="15.75" customHeight="1" x14ac:dyDescent="0.2">
      <c r="A642" s="102"/>
      <c r="B642" s="102"/>
      <c r="C642" s="102"/>
      <c r="D642" s="103"/>
      <c r="E642" s="103"/>
      <c r="F642" s="103"/>
      <c r="G642" s="103"/>
      <c r="H642" s="103"/>
      <c r="I642" s="5"/>
    </row>
    <row r="643" spans="1:9" ht="15.75" customHeight="1" x14ac:dyDescent="0.2">
      <c r="A643" s="102"/>
      <c r="B643" s="102"/>
      <c r="C643" s="102"/>
      <c r="D643" s="103"/>
      <c r="E643" s="103"/>
      <c r="F643" s="103"/>
      <c r="G643" s="103"/>
      <c r="H643" s="103"/>
      <c r="I643" s="5"/>
    </row>
    <row r="644" spans="1:9" ht="15.75" customHeight="1" x14ac:dyDescent="0.2">
      <c r="A644" s="102"/>
      <c r="B644" s="102"/>
      <c r="C644" s="102"/>
      <c r="D644" s="103"/>
      <c r="E644" s="103"/>
      <c r="F644" s="103"/>
      <c r="G644" s="103"/>
      <c r="H644" s="103"/>
      <c r="I644" s="5"/>
    </row>
    <row r="645" spans="1:9" ht="15.75" customHeight="1" x14ac:dyDescent="0.2">
      <c r="A645" s="102"/>
      <c r="B645" s="102"/>
      <c r="C645" s="102"/>
      <c r="D645" s="103"/>
      <c r="E645" s="103"/>
      <c r="F645" s="103"/>
      <c r="G645" s="103"/>
      <c r="H645" s="103"/>
      <c r="I645" s="5"/>
    </row>
    <row r="646" spans="1:9" ht="15.75" customHeight="1" x14ac:dyDescent="0.2">
      <c r="A646" s="102"/>
      <c r="B646" s="102"/>
      <c r="C646" s="102"/>
      <c r="D646" s="103"/>
      <c r="E646" s="103"/>
      <c r="F646" s="103"/>
      <c r="G646" s="103"/>
      <c r="H646" s="103"/>
      <c r="I646" s="5"/>
    </row>
    <row r="647" spans="1:9" ht="15.75" customHeight="1" x14ac:dyDescent="0.2">
      <c r="A647" s="102"/>
      <c r="B647" s="102"/>
      <c r="C647" s="102"/>
      <c r="D647" s="103"/>
      <c r="E647" s="103"/>
      <c r="F647" s="103"/>
      <c r="G647" s="103"/>
      <c r="H647" s="103"/>
      <c r="I647" s="5"/>
    </row>
    <row r="648" spans="1:9" ht="15.75" customHeight="1" x14ac:dyDescent="0.2">
      <c r="A648" s="102"/>
      <c r="B648" s="102"/>
      <c r="C648" s="102"/>
      <c r="D648" s="103"/>
      <c r="E648" s="103"/>
      <c r="F648" s="103"/>
      <c r="G648" s="103"/>
      <c r="H648" s="103"/>
      <c r="I648" s="5"/>
    </row>
    <row r="649" spans="1:9" ht="15.75" customHeight="1" x14ac:dyDescent="0.2">
      <c r="A649" s="102"/>
      <c r="B649" s="102"/>
      <c r="C649" s="102"/>
      <c r="D649" s="103"/>
      <c r="E649" s="103"/>
      <c r="F649" s="103"/>
      <c r="G649" s="103"/>
      <c r="H649" s="103"/>
      <c r="I649" s="5"/>
    </row>
    <row r="650" spans="1:9" ht="15.75" customHeight="1" x14ac:dyDescent="0.2">
      <c r="A650" s="102"/>
      <c r="B650" s="102"/>
      <c r="C650" s="102"/>
      <c r="D650" s="103"/>
      <c r="E650" s="103"/>
      <c r="F650" s="103"/>
      <c r="G650" s="103"/>
      <c r="H650" s="103"/>
      <c r="I650" s="5"/>
    </row>
    <row r="651" spans="1:9" ht="15.75" customHeight="1" x14ac:dyDescent="0.2">
      <c r="A651" s="102"/>
      <c r="B651" s="102"/>
      <c r="C651" s="102"/>
      <c r="D651" s="103"/>
      <c r="E651" s="103"/>
      <c r="F651" s="103"/>
      <c r="G651" s="103"/>
      <c r="H651" s="103"/>
      <c r="I651" s="5"/>
    </row>
    <row r="652" spans="1:9" ht="15.75" customHeight="1" x14ac:dyDescent="0.2">
      <c r="A652" s="102"/>
      <c r="B652" s="102"/>
      <c r="C652" s="102"/>
      <c r="D652" s="103"/>
      <c r="E652" s="103"/>
      <c r="F652" s="103"/>
      <c r="G652" s="103"/>
      <c r="H652" s="103"/>
      <c r="I652" s="5"/>
    </row>
    <row r="653" spans="1:9" ht="15.75" customHeight="1" x14ac:dyDescent="0.2">
      <c r="A653" s="102"/>
      <c r="B653" s="102"/>
      <c r="C653" s="102"/>
      <c r="D653" s="103"/>
      <c r="E653" s="103"/>
      <c r="F653" s="103"/>
      <c r="G653" s="103"/>
      <c r="H653" s="103"/>
      <c r="I653" s="5"/>
    </row>
    <row r="654" spans="1:9" ht="15.75" customHeight="1" x14ac:dyDescent="0.2">
      <c r="A654" s="102"/>
      <c r="B654" s="102"/>
      <c r="C654" s="102"/>
      <c r="D654" s="103"/>
      <c r="E654" s="103"/>
      <c r="F654" s="103"/>
      <c r="G654" s="103"/>
      <c r="H654" s="103"/>
      <c r="I654" s="5"/>
    </row>
    <row r="655" spans="1:9" ht="15.75" customHeight="1" x14ac:dyDescent="0.2">
      <c r="A655" s="102"/>
      <c r="B655" s="102"/>
      <c r="C655" s="102"/>
      <c r="D655" s="103"/>
      <c r="E655" s="103"/>
      <c r="F655" s="103"/>
      <c r="G655" s="103"/>
      <c r="H655" s="103"/>
      <c r="I655" s="5"/>
    </row>
    <row r="656" spans="1:9" ht="15.75" customHeight="1" x14ac:dyDescent="0.2">
      <c r="A656" s="102"/>
      <c r="B656" s="102"/>
      <c r="C656" s="102"/>
      <c r="D656" s="103"/>
      <c r="E656" s="103"/>
      <c r="F656" s="103"/>
      <c r="G656" s="103"/>
      <c r="H656" s="103"/>
      <c r="I656" s="5"/>
    </row>
    <row r="657" spans="1:9" ht="15.75" customHeight="1" x14ac:dyDescent="0.2">
      <c r="A657" s="102"/>
      <c r="B657" s="102"/>
      <c r="C657" s="102"/>
      <c r="D657" s="103"/>
      <c r="E657" s="103"/>
      <c r="F657" s="103"/>
      <c r="G657" s="103"/>
      <c r="H657" s="103"/>
      <c r="I657" s="5"/>
    </row>
    <row r="658" spans="1:9" ht="15.75" customHeight="1" x14ac:dyDescent="0.2">
      <c r="A658" s="102"/>
      <c r="B658" s="102"/>
      <c r="C658" s="102"/>
      <c r="D658" s="103"/>
      <c r="E658" s="103"/>
      <c r="F658" s="103"/>
      <c r="G658" s="103"/>
      <c r="H658" s="103"/>
      <c r="I658" s="5"/>
    </row>
    <row r="659" spans="1:9" ht="15.75" customHeight="1" x14ac:dyDescent="0.2">
      <c r="A659" s="102"/>
      <c r="B659" s="102"/>
      <c r="C659" s="102"/>
      <c r="D659" s="103"/>
      <c r="E659" s="103"/>
      <c r="F659" s="103"/>
      <c r="G659" s="103"/>
      <c r="H659" s="103"/>
      <c r="I659" s="5"/>
    </row>
    <row r="660" spans="1:9" ht="15.75" customHeight="1" x14ac:dyDescent="0.2">
      <c r="A660" s="102"/>
      <c r="B660" s="102"/>
      <c r="C660" s="102"/>
      <c r="D660" s="103"/>
      <c r="E660" s="103"/>
      <c r="F660" s="103"/>
      <c r="G660" s="103"/>
      <c r="H660" s="103"/>
      <c r="I660" s="5"/>
    </row>
    <row r="661" spans="1:9" ht="15.75" customHeight="1" x14ac:dyDescent="0.2">
      <c r="A661" s="102"/>
      <c r="B661" s="102"/>
      <c r="C661" s="102"/>
      <c r="D661" s="103"/>
      <c r="E661" s="103"/>
      <c r="F661" s="103"/>
      <c r="G661" s="103"/>
      <c r="H661" s="103"/>
      <c r="I661" s="5"/>
    </row>
    <row r="662" spans="1:9" ht="15.75" customHeight="1" x14ac:dyDescent="0.2">
      <c r="A662" s="102"/>
      <c r="B662" s="102"/>
      <c r="C662" s="102"/>
      <c r="D662" s="103"/>
      <c r="E662" s="103"/>
      <c r="F662" s="103"/>
      <c r="G662" s="103"/>
      <c r="H662" s="103"/>
      <c r="I662" s="5"/>
    </row>
    <row r="663" spans="1:9" ht="15.75" customHeight="1" x14ac:dyDescent="0.2">
      <c r="A663" s="102"/>
      <c r="B663" s="102"/>
      <c r="C663" s="102"/>
      <c r="D663" s="103"/>
      <c r="E663" s="103"/>
      <c r="F663" s="103"/>
      <c r="G663" s="103"/>
      <c r="H663" s="103"/>
      <c r="I663" s="5"/>
    </row>
    <row r="664" spans="1:9" ht="15.75" customHeight="1" x14ac:dyDescent="0.2">
      <c r="A664" s="102"/>
      <c r="B664" s="102"/>
      <c r="C664" s="102"/>
      <c r="D664" s="103"/>
      <c r="E664" s="103"/>
      <c r="F664" s="103"/>
      <c r="G664" s="103"/>
      <c r="H664" s="103"/>
      <c r="I664" s="5"/>
    </row>
    <row r="665" spans="1:9" ht="15.75" customHeight="1" x14ac:dyDescent="0.2">
      <c r="A665" s="102"/>
      <c r="B665" s="102"/>
      <c r="C665" s="102"/>
      <c r="D665" s="103"/>
      <c r="E665" s="103"/>
      <c r="F665" s="103"/>
      <c r="G665" s="103"/>
      <c r="H665" s="103"/>
      <c r="I665" s="5"/>
    </row>
    <row r="666" spans="1:9" ht="15.75" customHeight="1" x14ac:dyDescent="0.2">
      <c r="A666" s="102"/>
      <c r="B666" s="102"/>
      <c r="C666" s="102"/>
      <c r="D666" s="103"/>
      <c r="E666" s="103"/>
      <c r="F666" s="103"/>
      <c r="G666" s="103"/>
      <c r="H666" s="103"/>
      <c r="I666" s="5"/>
    </row>
    <row r="667" spans="1:9" ht="15.75" customHeight="1" x14ac:dyDescent="0.2">
      <c r="A667" s="102"/>
      <c r="B667" s="102"/>
      <c r="C667" s="102"/>
      <c r="D667" s="103"/>
      <c r="E667" s="103"/>
      <c r="F667" s="103"/>
      <c r="G667" s="103"/>
      <c r="H667" s="103"/>
      <c r="I667" s="5"/>
    </row>
    <row r="668" spans="1:9" ht="15.75" customHeight="1" x14ac:dyDescent="0.2">
      <c r="A668" s="102"/>
      <c r="B668" s="102"/>
      <c r="C668" s="102"/>
      <c r="D668" s="103"/>
      <c r="E668" s="103"/>
      <c r="F668" s="103"/>
      <c r="G668" s="103"/>
      <c r="H668" s="103"/>
      <c r="I668" s="5"/>
    </row>
    <row r="669" spans="1:9" ht="15.75" customHeight="1" x14ac:dyDescent="0.2">
      <c r="A669" s="102"/>
      <c r="B669" s="102"/>
      <c r="C669" s="102"/>
      <c r="D669" s="103"/>
      <c r="E669" s="103"/>
      <c r="F669" s="103"/>
      <c r="G669" s="103"/>
      <c r="H669" s="103"/>
      <c r="I669" s="5"/>
    </row>
    <row r="670" spans="1:9" ht="15.75" customHeight="1" x14ac:dyDescent="0.2">
      <c r="A670" s="102"/>
      <c r="B670" s="102"/>
      <c r="C670" s="102"/>
      <c r="D670" s="103"/>
      <c r="E670" s="103"/>
      <c r="F670" s="103"/>
      <c r="G670" s="103"/>
      <c r="H670" s="103"/>
      <c r="I670" s="5"/>
    </row>
    <row r="671" spans="1:9" ht="15.75" customHeight="1" x14ac:dyDescent="0.2">
      <c r="A671" s="102"/>
      <c r="B671" s="102"/>
      <c r="C671" s="102"/>
      <c r="D671" s="103"/>
      <c r="E671" s="103"/>
      <c r="F671" s="103"/>
      <c r="G671" s="103"/>
      <c r="H671" s="103"/>
      <c r="I671" s="5"/>
    </row>
    <row r="672" spans="1:9" ht="15.75" customHeight="1" x14ac:dyDescent="0.2">
      <c r="A672" s="102"/>
      <c r="B672" s="102"/>
      <c r="C672" s="102"/>
      <c r="D672" s="103"/>
      <c r="E672" s="103"/>
      <c r="F672" s="103"/>
      <c r="G672" s="103"/>
      <c r="H672" s="103"/>
      <c r="I672" s="5"/>
    </row>
    <row r="673" spans="1:9" ht="15.75" customHeight="1" x14ac:dyDescent="0.2">
      <c r="A673" s="102"/>
      <c r="B673" s="102"/>
      <c r="C673" s="102"/>
      <c r="D673" s="103"/>
      <c r="E673" s="103"/>
      <c r="F673" s="103"/>
      <c r="G673" s="103"/>
      <c r="H673" s="103"/>
      <c r="I673" s="5"/>
    </row>
    <row r="674" spans="1:9" ht="15.75" customHeight="1" x14ac:dyDescent="0.2">
      <c r="A674" s="102"/>
      <c r="B674" s="102"/>
      <c r="C674" s="102"/>
      <c r="D674" s="103"/>
      <c r="E674" s="103"/>
      <c r="F674" s="103"/>
      <c r="G674" s="103"/>
      <c r="H674" s="103"/>
      <c r="I674" s="5"/>
    </row>
    <row r="675" spans="1:9" ht="15.75" customHeight="1" x14ac:dyDescent="0.2">
      <c r="A675" s="102"/>
      <c r="B675" s="102"/>
      <c r="C675" s="102"/>
      <c r="D675" s="103"/>
      <c r="E675" s="103"/>
      <c r="F675" s="103"/>
      <c r="G675" s="103"/>
      <c r="H675" s="103"/>
      <c r="I675" s="5"/>
    </row>
    <row r="676" spans="1:9" ht="15.75" customHeight="1" x14ac:dyDescent="0.2">
      <c r="A676" s="102"/>
      <c r="B676" s="102"/>
      <c r="C676" s="102"/>
      <c r="D676" s="103"/>
      <c r="E676" s="103"/>
      <c r="F676" s="103"/>
      <c r="G676" s="103"/>
      <c r="H676" s="103"/>
      <c r="I676" s="5"/>
    </row>
    <row r="677" spans="1:9" ht="15.75" customHeight="1" x14ac:dyDescent="0.2">
      <c r="A677" s="102"/>
      <c r="B677" s="102"/>
      <c r="C677" s="102"/>
      <c r="D677" s="103"/>
      <c r="E677" s="103"/>
      <c r="F677" s="103"/>
      <c r="G677" s="103"/>
      <c r="H677" s="103"/>
      <c r="I677" s="5"/>
    </row>
    <row r="678" spans="1:9" ht="15.75" customHeight="1" x14ac:dyDescent="0.2">
      <c r="A678" s="102"/>
      <c r="B678" s="102"/>
      <c r="C678" s="102"/>
      <c r="D678" s="103"/>
      <c r="E678" s="103"/>
      <c r="F678" s="103"/>
      <c r="G678" s="103"/>
      <c r="H678" s="103"/>
      <c r="I678" s="5"/>
    </row>
    <row r="679" spans="1:9" ht="15.75" customHeight="1" x14ac:dyDescent="0.2">
      <c r="A679" s="102"/>
      <c r="B679" s="102"/>
      <c r="C679" s="102"/>
      <c r="D679" s="103"/>
      <c r="E679" s="103"/>
      <c r="F679" s="103"/>
      <c r="G679" s="103"/>
      <c r="H679" s="103"/>
      <c r="I679" s="5"/>
    </row>
    <row r="680" spans="1:9" ht="15.75" customHeight="1" x14ac:dyDescent="0.2">
      <c r="A680" s="102"/>
      <c r="B680" s="102"/>
      <c r="C680" s="102"/>
      <c r="D680" s="103"/>
      <c r="E680" s="103"/>
      <c r="F680" s="103"/>
      <c r="G680" s="103"/>
      <c r="H680" s="103"/>
      <c r="I680" s="5"/>
    </row>
    <row r="681" spans="1:9" ht="15.75" customHeight="1" x14ac:dyDescent="0.2">
      <c r="A681" s="102"/>
      <c r="B681" s="102"/>
      <c r="C681" s="102"/>
      <c r="D681" s="103"/>
      <c r="E681" s="103"/>
      <c r="F681" s="103"/>
      <c r="G681" s="103"/>
      <c r="H681" s="103"/>
      <c r="I681" s="5"/>
    </row>
    <row r="682" spans="1:9" ht="15.75" customHeight="1" x14ac:dyDescent="0.2">
      <c r="A682" s="102"/>
      <c r="B682" s="102"/>
      <c r="C682" s="102"/>
      <c r="D682" s="103"/>
      <c r="E682" s="103"/>
      <c r="F682" s="103"/>
      <c r="G682" s="103"/>
      <c r="H682" s="103"/>
      <c r="I682" s="5"/>
    </row>
    <row r="683" spans="1:9" ht="15.75" customHeight="1" x14ac:dyDescent="0.2">
      <c r="A683" s="102"/>
      <c r="B683" s="102"/>
      <c r="C683" s="102"/>
      <c r="D683" s="103"/>
      <c r="E683" s="103"/>
      <c r="F683" s="103"/>
      <c r="G683" s="103"/>
      <c r="H683" s="103"/>
      <c r="I683" s="5"/>
    </row>
    <row r="684" spans="1:9" ht="15.75" customHeight="1" x14ac:dyDescent="0.2">
      <c r="A684" s="102"/>
      <c r="B684" s="102"/>
      <c r="C684" s="102"/>
      <c r="D684" s="103"/>
      <c r="E684" s="103"/>
      <c r="F684" s="103"/>
      <c r="G684" s="103"/>
      <c r="H684" s="103"/>
      <c r="I684" s="5"/>
    </row>
    <row r="685" spans="1:9" ht="15.75" customHeight="1" x14ac:dyDescent="0.2">
      <c r="A685" s="102"/>
      <c r="B685" s="102"/>
      <c r="C685" s="102"/>
      <c r="D685" s="103"/>
      <c r="E685" s="103"/>
      <c r="F685" s="103"/>
      <c r="G685" s="103"/>
      <c r="H685" s="103"/>
      <c r="I685" s="5"/>
    </row>
    <row r="686" spans="1:9" ht="15.75" customHeight="1" x14ac:dyDescent="0.2">
      <c r="A686" s="102"/>
      <c r="B686" s="102"/>
      <c r="C686" s="102"/>
      <c r="D686" s="103"/>
      <c r="E686" s="103"/>
      <c r="F686" s="103"/>
      <c r="G686" s="103"/>
      <c r="H686" s="103"/>
      <c r="I686" s="5"/>
    </row>
    <row r="687" spans="1:9" ht="15.75" customHeight="1" x14ac:dyDescent="0.2">
      <c r="A687" s="102"/>
      <c r="B687" s="102"/>
      <c r="C687" s="102"/>
      <c r="D687" s="103"/>
      <c r="E687" s="103"/>
      <c r="F687" s="103"/>
      <c r="G687" s="103"/>
      <c r="H687" s="103"/>
      <c r="I687" s="5"/>
    </row>
    <row r="688" spans="1:9" ht="15.75" customHeight="1" x14ac:dyDescent="0.2">
      <c r="A688" s="102"/>
      <c r="B688" s="102"/>
      <c r="C688" s="102"/>
      <c r="D688" s="103"/>
      <c r="E688" s="103"/>
      <c r="F688" s="103"/>
      <c r="G688" s="103"/>
      <c r="H688" s="103"/>
      <c r="I688" s="5"/>
    </row>
    <row r="689" spans="1:9" ht="15.75" customHeight="1" x14ac:dyDescent="0.2">
      <c r="A689" s="102"/>
      <c r="B689" s="102"/>
      <c r="C689" s="102"/>
      <c r="D689" s="103"/>
      <c r="E689" s="103"/>
      <c r="F689" s="103"/>
      <c r="G689" s="103"/>
      <c r="H689" s="103"/>
      <c r="I689" s="5"/>
    </row>
    <row r="690" spans="1:9" ht="15.75" customHeight="1" x14ac:dyDescent="0.2">
      <c r="A690" s="102"/>
      <c r="B690" s="102"/>
      <c r="C690" s="102"/>
      <c r="D690" s="103"/>
      <c r="E690" s="103"/>
      <c r="F690" s="103"/>
      <c r="G690" s="103"/>
      <c r="H690" s="103"/>
      <c r="I690" s="5"/>
    </row>
    <row r="691" spans="1:9" ht="15.75" customHeight="1" x14ac:dyDescent="0.2">
      <c r="A691" s="102"/>
      <c r="B691" s="102"/>
      <c r="C691" s="102"/>
      <c r="D691" s="103"/>
      <c r="E691" s="103"/>
      <c r="F691" s="103"/>
      <c r="G691" s="103"/>
      <c r="H691" s="103"/>
      <c r="I691" s="5"/>
    </row>
    <row r="692" spans="1:9" ht="15.75" customHeight="1" x14ac:dyDescent="0.2">
      <c r="A692" s="102"/>
      <c r="B692" s="102"/>
      <c r="C692" s="102"/>
      <c r="D692" s="103"/>
      <c r="E692" s="103"/>
      <c r="F692" s="103"/>
      <c r="G692" s="103"/>
      <c r="H692" s="103"/>
      <c r="I692" s="5"/>
    </row>
    <row r="693" spans="1:9" ht="15.75" customHeight="1" x14ac:dyDescent="0.2">
      <c r="A693" s="102"/>
      <c r="B693" s="102"/>
      <c r="C693" s="102"/>
      <c r="D693" s="103"/>
      <c r="E693" s="103"/>
      <c r="F693" s="103"/>
      <c r="G693" s="103"/>
      <c r="H693" s="103"/>
      <c r="I693" s="5"/>
    </row>
    <row r="694" spans="1:9" ht="15.75" customHeight="1" x14ac:dyDescent="0.2">
      <c r="A694" s="102"/>
      <c r="B694" s="102"/>
      <c r="C694" s="102"/>
      <c r="D694" s="103"/>
      <c r="E694" s="103"/>
      <c r="F694" s="103"/>
      <c r="G694" s="103"/>
      <c r="H694" s="103"/>
      <c r="I694" s="5"/>
    </row>
    <row r="695" spans="1:9" ht="15.75" customHeight="1" x14ac:dyDescent="0.2">
      <c r="A695" s="102"/>
      <c r="B695" s="102"/>
      <c r="C695" s="102"/>
      <c r="D695" s="103"/>
      <c r="E695" s="103"/>
      <c r="F695" s="103"/>
      <c r="G695" s="103"/>
      <c r="H695" s="103"/>
      <c r="I695" s="5"/>
    </row>
    <row r="696" spans="1:9" ht="15.75" customHeight="1" x14ac:dyDescent="0.2">
      <c r="A696" s="102"/>
      <c r="B696" s="102"/>
      <c r="C696" s="102"/>
      <c r="D696" s="103"/>
      <c r="E696" s="103"/>
      <c r="F696" s="103"/>
      <c r="G696" s="103"/>
      <c r="H696" s="103"/>
      <c r="I696" s="5"/>
    </row>
    <row r="697" spans="1:9" ht="15.75" customHeight="1" x14ac:dyDescent="0.2">
      <c r="A697" s="102"/>
      <c r="B697" s="102"/>
      <c r="C697" s="102"/>
      <c r="D697" s="103"/>
      <c r="E697" s="103"/>
      <c r="F697" s="103"/>
      <c r="G697" s="103"/>
      <c r="H697" s="103"/>
      <c r="I697" s="5"/>
    </row>
    <row r="698" spans="1:9" ht="15.75" customHeight="1" x14ac:dyDescent="0.2">
      <c r="A698" s="102"/>
      <c r="B698" s="102"/>
      <c r="C698" s="102"/>
      <c r="D698" s="103"/>
      <c r="E698" s="103"/>
      <c r="F698" s="103"/>
      <c r="G698" s="103"/>
      <c r="H698" s="103"/>
      <c r="I698" s="5"/>
    </row>
    <row r="699" spans="1:9" ht="15.75" customHeight="1" x14ac:dyDescent="0.2">
      <c r="A699" s="102"/>
      <c r="B699" s="102"/>
      <c r="C699" s="102"/>
      <c r="D699" s="103"/>
      <c r="E699" s="103"/>
      <c r="F699" s="103"/>
      <c r="G699" s="103"/>
      <c r="H699" s="103"/>
      <c r="I699" s="5"/>
    </row>
    <row r="700" spans="1:9" ht="15.75" customHeight="1" x14ac:dyDescent="0.2">
      <c r="A700" s="102"/>
      <c r="B700" s="102"/>
      <c r="C700" s="102"/>
      <c r="D700" s="103"/>
      <c r="E700" s="103"/>
      <c r="F700" s="103"/>
      <c r="G700" s="103"/>
      <c r="H700" s="103"/>
      <c r="I700" s="5"/>
    </row>
    <row r="701" spans="1:9" ht="15.75" customHeight="1" x14ac:dyDescent="0.2">
      <c r="A701" s="102"/>
      <c r="B701" s="102"/>
      <c r="C701" s="102"/>
      <c r="D701" s="103"/>
      <c r="E701" s="103"/>
      <c r="F701" s="103"/>
      <c r="G701" s="103"/>
      <c r="H701" s="103"/>
      <c r="I701" s="5"/>
    </row>
    <row r="702" spans="1:9" ht="15.75" customHeight="1" x14ac:dyDescent="0.2">
      <c r="A702" s="102"/>
      <c r="B702" s="102"/>
      <c r="C702" s="102"/>
      <c r="D702" s="103"/>
      <c r="E702" s="103"/>
      <c r="F702" s="103"/>
      <c r="G702" s="103"/>
      <c r="H702" s="103"/>
      <c r="I702" s="5"/>
    </row>
    <row r="703" spans="1:9" ht="15.75" customHeight="1" x14ac:dyDescent="0.2">
      <c r="A703" s="102"/>
      <c r="B703" s="102"/>
      <c r="C703" s="102"/>
      <c r="D703" s="103"/>
      <c r="E703" s="103"/>
      <c r="F703" s="103"/>
      <c r="G703" s="103"/>
      <c r="H703" s="103"/>
      <c r="I703" s="5"/>
    </row>
    <row r="704" spans="1:9" ht="15.75" customHeight="1" x14ac:dyDescent="0.2">
      <c r="A704" s="102"/>
      <c r="B704" s="102"/>
      <c r="C704" s="102"/>
      <c r="D704" s="103"/>
      <c r="E704" s="103"/>
      <c r="F704" s="103"/>
      <c r="G704" s="103"/>
      <c r="H704" s="103"/>
      <c r="I704" s="5"/>
    </row>
    <row r="705" spans="1:9" ht="15.75" customHeight="1" x14ac:dyDescent="0.2">
      <c r="A705" s="102"/>
      <c r="B705" s="102"/>
      <c r="C705" s="102"/>
      <c r="D705" s="103"/>
      <c r="E705" s="103"/>
      <c r="F705" s="103"/>
      <c r="G705" s="103"/>
      <c r="H705" s="103"/>
      <c r="I705" s="5"/>
    </row>
    <row r="706" spans="1:9" ht="15.75" customHeight="1" x14ac:dyDescent="0.2">
      <c r="A706" s="102"/>
      <c r="B706" s="102"/>
      <c r="C706" s="102"/>
      <c r="D706" s="103"/>
      <c r="E706" s="103"/>
      <c r="F706" s="103"/>
      <c r="G706" s="103"/>
      <c r="H706" s="103"/>
      <c r="I706" s="5"/>
    </row>
    <row r="707" spans="1:9" ht="15.75" customHeight="1" x14ac:dyDescent="0.2">
      <c r="A707" s="102"/>
      <c r="B707" s="102"/>
      <c r="C707" s="102"/>
      <c r="D707" s="103"/>
      <c r="E707" s="103"/>
      <c r="F707" s="103"/>
      <c r="G707" s="103"/>
      <c r="H707" s="103"/>
      <c r="I707" s="5"/>
    </row>
    <row r="708" spans="1:9" ht="15.75" customHeight="1" x14ac:dyDescent="0.2">
      <c r="A708" s="102"/>
      <c r="B708" s="102"/>
      <c r="C708" s="102"/>
      <c r="D708" s="103"/>
      <c r="E708" s="103"/>
      <c r="F708" s="103"/>
      <c r="G708" s="103"/>
      <c r="H708" s="103"/>
      <c r="I708" s="5"/>
    </row>
    <row r="709" spans="1:9" ht="15.75" customHeight="1" x14ac:dyDescent="0.2">
      <c r="A709" s="102"/>
      <c r="B709" s="102"/>
      <c r="C709" s="102"/>
      <c r="D709" s="103"/>
      <c r="E709" s="103"/>
      <c r="F709" s="103"/>
      <c r="G709" s="103"/>
      <c r="H709" s="103"/>
      <c r="I709" s="5"/>
    </row>
    <row r="710" spans="1:9" ht="15.75" customHeight="1" x14ac:dyDescent="0.2">
      <c r="A710" s="102"/>
      <c r="B710" s="102"/>
      <c r="C710" s="102"/>
      <c r="D710" s="103"/>
      <c r="E710" s="103"/>
      <c r="F710" s="103"/>
      <c r="G710" s="103"/>
      <c r="H710" s="103"/>
      <c r="I710" s="5"/>
    </row>
    <row r="711" spans="1:9" ht="15.75" customHeight="1" x14ac:dyDescent="0.2">
      <c r="A711" s="102"/>
      <c r="B711" s="102"/>
      <c r="C711" s="102"/>
      <c r="D711" s="103"/>
      <c r="E711" s="103"/>
      <c r="F711" s="103"/>
      <c r="G711" s="103"/>
      <c r="H711" s="103"/>
      <c r="I711" s="5"/>
    </row>
    <row r="712" spans="1:9" ht="15.75" customHeight="1" x14ac:dyDescent="0.2">
      <c r="A712" s="102"/>
      <c r="B712" s="102"/>
      <c r="C712" s="102"/>
      <c r="D712" s="103"/>
      <c r="E712" s="103"/>
      <c r="F712" s="103"/>
      <c r="G712" s="103"/>
      <c r="H712" s="103"/>
      <c r="I712" s="5"/>
    </row>
    <row r="713" spans="1:9" ht="15.75" customHeight="1" x14ac:dyDescent="0.2">
      <c r="A713" s="102"/>
      <c r="B713" s="102"/>
      <c r="C713" s="102"/>
      <c r="D713" s="103"/>
      <c r="E713" s="103"/>
      <c r="F713" s="103"/>
      <c r="G713" s="103"/>
      <c r="H713" s="103"/>
      <c r="I713" s="5"/>
    </row>
    <row r="714" spans="1:9" ht="15.75" customHeight="1" x14ac:dyDescent="0.2">
      <c r="A714" s="102"/>
      <c r="B714" s="102"/>
      <c r="C714" s="102"/>
      <c r="D714" s="103"/>
      <c r="E714" s="103"/>
      <c r="F714" s="103"/>
      <c r="G714" s="103"/>
      <c r="H714" s="103"/>
      <c r="I714" s="5"/>
    </row>
    <row r="715" spans="1:9" ht="15.75" customHeight="1" x14ac:dyDescent="0.2">
      <c r="A715" s="102"/>
      <c r="B715" s="102"/>
      <c r="C715" s="102"/>
      <c r="D715" s="103"/>
      <c r="E715" s="103"/>
      <c r="F715" s="103"/>
      <c r="G715" s="103"/>
      <c r="H715" s="103"/>
      <c r="I715" s="5"/>
    </row>
    <row r="716" spans="1:9" ht="15.75" customHeight="1" x14ac:dyDescent="0.2">
      <c r="A716" s="102"/>
      <c r="B716" s="102"/>
      <c r="C716" s="102"/>
      <c r="D716" s="103"/>
      <c r="E716" s="103"/>
      <c r="F716" s="103"/>
      <c r="G716" s="103"/>
      <c r="H716" s="103"/>
      <c r="I716" s="5"/>
    </row>
    <row r="717" spans="1:9" ht="15.75" customHeight="1" x14ac:dyDescent="0.2">
      <c r="A717" s="102"/>
      <c r="B717" s="102"/>
      <c r="C717" s="102"/>
      <c r="D717" s="103"/>
      <c r="E717" s="103"/>
      <c r="F717" s="103"/>
      <c r="G717" s="103"/>
      <c r="H717" s="103"/>
      <c r="I717" s="5"/>
    </row>
    <row r="718" spans="1:9" ht="15.75" customHeight="1" x14ac:dyDescent="0.2">
      <c r="A718" s="102"/>
      <c r="B718" s="102"/>
      <c r="C718" s="102"/>
      <c r="D718" s="103"/>
      <c r="E718" s="103"/>
      <c r="F718" s="103"/>
      <c r="G718" s="103"/>
      <c r="H718" s="103"/>
      <c r="I718" s="5"/>
    </row>
    <row r="719" spans="1:9" ht="15.75" customHeight="1" x14ac:dyDescent="0.2">
      <c r="A719" s="102"/>
      <c r="B719" s="102"/>
      <c r="C719" s="102"/>
      <c r="D719" s="103"/>
      <c r="E719" s="103"/>
      <c r="F719" s="103"/>
      <c r="G719" s="103"/>
      <c r="H719" s="103"/>
      <c r="I719" s="5"/>
    </row>
    <row r="720" spans="1:9" ht="15.75" customHeight="1" x14ac:dyDescent="0.2">
      <c r="A720" s="102"/>
      <c r="B720" s="102"/>
      <c r="C720" s="102"/>
      <c r="D720" s="103"/>
      <c r="E720" s="103"/>
      <c r="F720" s="103"/>
      <c r="G720" s="103"/>
      <c r="H720" s="103"/>
      <c r="I720" s="5"/>
    </row>
    <row r="721" spans="1:9" ht="15.75" customHeight="1" x14ac:dyDescent="0.2">
      <c r="A721" s="102"/>
      <c r="B721" s="102"/>
      <c r="C721" s="102"/>
      <c r="D721" s="103"/>
      <c r="E721" s="103"/>
      <c r="F721" s="103"/>
      <c r="G721" s="103"/>
      <c r="H721" s="103"/>
      <c r="I721" s="5"/>
    </row>
    <row r="722" spans="1:9" ht="15.75" customHeight="1" x14ac:dyDescent="0.2">
      <c r="A722" s="102"/>
      <c r="B722" s="102"/>
      <c r="C722" s="102"/>
      <c r="D722" s="103"/>
      <c r="E722" s="103"/>
      <c r="F722" s="103"/>
      <c r="G722" s="103"/>
      <c r="H722" s="103"/>
      <c r="I722" s="5"/>
    </row>
    <row r="723" spans="1:9" ht="15.75" customHeight="1" x14ac:dyDescent="0.2">
      <c r="A723" s="102"/>
      <c r="B723" s="102"/>
      <c r="C723" s="102"/>
      <c r="D723" s="103"/>
      <c r="E723" s="103"/>
      <c r="F723" s="103"/>
      <c r="G723" s="103"/>
      <c r="H723" s="103"/>
      <c r="I723" s="5"/>
    </row>
    <row r="724" spans="1:9" ht="15.75" customHeight="1" x14ac:dyDescent="0.2">
      <c r="A724" s="102"/>
      <c r="B724" s="102"/>
      <c r="C724" s="102"/>
      <c r="D724" s="103"/>
      <c r="E724" s="103"/>
      <c r="F724" s="103"/>
      <c r="G724" s="103"/>
      <c r="H724" s="103"/>
      <c r="I724" s="5"/>
    </row>
    <row r="725" spans="1:9" ht="15.75" customHeight="1" x14ac:dyDescent="0.2">
      <c r="A725" s="102"/>
      <c r="B725" s="102"/>
      <c r="C725" s="102"/>
      <c r="D725" s="103"/>
      <c r="E725" s="103"/>
      <c r="F725" s="103"/>
      <c r="G725" s="103"/>
      <c r="H725" s="103"/>
      <c r="I725" s="5"/>
    </row>
    <row r="726" spans="1:9" ht="15.75" customHeight="1" x14ac:dyDescent="0.2">
      <c r="A726" s="102"/>
      <c r="B726" s="102"/>
      <c r="C726" s="102"/>
      <c r="D726" s="103"/>
      <c r="E726" s="103"/>
      <c r="F726" s="103"/>
      <c r="G726" s="103"/>
      <c r="H726" s="103"/>
      <c r="I726" s="5"/>
    </row>
    <row r="727" spans="1:9" ht="15.75" customHeight="1" x14ac:dyDescent="0.2">
      <c r="A727" s="102"/>
      <c r="B727" s="102"/>
      <c r="C727" s="102"/>
      <c r="D727" s="103"/>
      <c r="E727" s="103"/>
      <c r="F727" s="103"/>
      <c r="G727" s="103"/>
      <c r="H727" s="103"/>
      <c r="I727" s="5"/>
    </row>
    <row r="728" spans="1:9" ht="15.75" customHeight="1" x14ac:dyDescent="0.2">
      <c r="A728" s="102"/>
      <c r="B728" s="102"/>
      <c r="C728" s="102"/>
      <c r="D728" s="103"/>
      <c r="E728" s="103"/>
      <c r="F728" s="103"/>
      <c r="G728" s="103"/>
      <c r="H728" s="103"/>
      <c r="I728" s="5"/>
    </row>
    <row r="729" spans="1:9" ht="15.75" customHeight="1" x14ac:dyDescent="0.2">
      <c r="A729" s="102"/>
      <c r="B729" s="102"/>
      <c r="C729" s="102"/>
      <c r="D729" s="103"/>
      <c r="E729" s="103"/>
      <c r="F729" s="103"/>
      <c r="G729" s="103"/>
      <c r="H729" s="103"/>
      <c r="I729" s="5"/>
    </row>
    <row r="730" spans="1:9" ht="15.75" customHeight="1" x14ac:dyDescent="0.2">
      <c r="A730" s="102"/>
      <c r="B730" s="102"/>
      <c r="C730" s="102"/>
      <c r="D730" s="103"/>
      <c r="E730" s="103"/>
      <c r="F730" s="103"/>
      <c r="G730" s="103"/>
      <c r="H730" s="103"/>
      <c r="I730" s="5"/>
    </row>
    <row r="731" spans="1:9" ht="15.75" customHeight="1" x14ac:dyDescent="0.2">
      <c r="A731" s="102"/>
      <c r="B731" s="102"/>
      <c r="C731" s="102"/>
      <c r="D731" s="103"/>
      <c r="E731" s="103"/>
      <c r="F731" s="103"/>
      <c r="G731" s="103"/>
      <c r="H731" s="103"/>
      <c r="I731" s="5"/>
    </row>
    <row r="732" spans="1:9" ht="15.75" customHeight="1" x14ac:dyDescent="0.2">
      <c r="A732" s="102"/>
      <c r="B732" s="102"/>
      <c r="C732" s="102"/>
      <c r="D732" s="103"/>
      <c r="E732" s="103"/>
      <c r="F732" s="103"/>
      <c r="G732" s="103"/>
      <c r="H732" s="103"/>
      <c r="I732" s="5"/>
    </row>
    <row r="733" spans="1:9" ht="15.75" customHeight="1" x14ac:dyDescent="0.2">
      <c r="A733" s="102"/>
      <c r="B733" s="102"/>
      <c r="C733" s="102"/>
      <c r="D733" s="103"/>
      <c r="E733" s="103"/>
      <c r="F733" s="103"/>
      <c r="G733" s="103"/>
      <c r="H733" s="103"/>
      <c r="I733" s="5"/>
    </row>
    <row r="734" spans="1:9" ht="15.75" customHeight="1" x14ac:dyDescent="0.2">
      <c r="A734" s="102"/>
      <c r="B734" s="102"/>
      <c r="C734" s="102"/>
      <c r="D734" s="103"/>
      <c r="E734" s="103"/>
      <c r="F734" s="103"/>
      <c r="G734" s="103"/>
      <c r="H734" s="103"/>
      <c r="I734" s="5"/>
    </row>
    <row r="735" spans="1:9" ht="15.75" customHeight="1" x14ac:dyDescent="0.2">
      <c r="A735" s="102"/>
      <c r="B735" s="102"/>
      <c r="C735" s="102"/>
      <c r="D735" s="103"/>
      <c r="E735" s="103"/>
      <c r="F735" s="103"/>
      <c r="G735" s="103"/>
      <c r="H735" s="103"/>
      <c r="I735" s="5"/>
    </row>
    <row r="736" spans="1:9" ht="15.75" customHeight="1" x14ac:dyDescent="0.2">
      <c r="A736" s="102"/>
      <c r="B736" s="102"/>
      <c r="C736" s="102"/>
      <c r="D736" s="103"/>
      <c r="E736" s="103"/>
      <c r="F736" s="103"/>
      <c r="G736" s="103"/>
      <c r="H736" s="103"/>
      <c r="I736" s="5"/>
    </row>
    <row r="737" spans="1:9" ht="15.75" customHeight="1" x14ac:dyDescent="0.2">
      <c r="A737" s="102"/>
      <c r="B737" s="102"/>
      <c r="C737" s="102"/>
      <c r="D737" s="103"/>
      <c r="E737" s="103"/>
      <c r="F737" s="103"/>
      <c r="G737" s="103"/>
      <c r="H737" s="103"/>
      <c r="I737" s="5"/>
    </row>
    <row r="738" spans="1:9" ht="15.75" customHeight="1" x14ac:dyDescent="0.2">
      <c r="A738" s="102"/>
      <c r="B738" s="102"/>
      <c r="C738" s="102"/>
      <c r="D738" s="103"/>
      <c r="E738" s="103"/>
      <c r="F738" s="103"/>
      <c r="G738" s="103"/>
      <c r="H738" s="103"/>
      <c r="I738" s="5"/>
    </row>
    <row r="739" spans="1:9" ht="15.75" customHeight="1" x14ac:dyDescent="0.2">
      <c r="A739" s="102"/>
      <c r="B739" s="102"/>
      <c r="C739" s="102"/>
      <c r="D739" s="103"/>
      <c r="E739" s="103"/>
      <c r="F739" s="103"/>
      <c r="G739" s="103"/>
      <c r="H739" s="103"/>
      <c r="I739" s="5"/>
    </row>
    <row r="740" spans="1:9" ht="15.75" customHeight="1" x14ac:dyDescent="0.2">
      <c r="A740" s="102"/>
      <c r="B740" s="102"/>
      <c r="C740" s="102"/>
      <c r="D740" s="103"/>
      <c r="E740" s="103"/>
      <c r="F740" s="103"/>
      <c r="G740" s="103"/>
      <c r="H740" s="103"/>
      <c r="I740" s="5"/>
    </row>
    <row r="741" spans="1:9" ht="15.75" customHeight="1" x14ac:dyDescent="0.2">
      <c r="A741" s="102"/>
      <c r="B741" s="102"/>
      <c r="C741" s="102"/>
      <c r="D741" s="103"/>
      <c r="E741" s="103"/>
      <c r="F741" s="103"/>
      <c r="G741" s="103"/>
      <c r="H741" s="103"/>
      <c r="I741" s="5"/>
    </row>
    <row r="742" spans="1:9" ht="15.75" customHeight="1" x14ac:dyDescent="0.2">
      <c r="A742" s="102"/>
      <c r="B742" s="102"/>
      <c r="C742" s="102"/>
      <c r="D742" s="103"/>
      <c r="E742" s="103"/>
      <c r="F742" s="103"/>
      <c r="G742" s="103"/>
      <c r="H742" s="103"/>
      <c r="I742" s="5"/>
    </row>
    <row r="743" spans="1:9" ht="15.75" customHeight="1" x14ac:dyDescent="0.2">
      <c r="A743" s="102"/>
      <c r="B743" s="102"/>
      <c r="C743" s="102"/>
      <c r="D743" s="103"/>
      <c r="E743" s="103"/>
      <c r="F743" s="103"/>
      <c r="G743" s="103"/>
      <c r="H743" s="103"/>
      <c r="I743" s="5"/>
    </row>
    <row r="744" spans="1:9" ht="15.75" customHeight="1" x14ac:dyDescent="0.2">
      <c r="A744" s="102"/>
      <c r="B744" s="102"/>
      <c r="C744" s="102"/>
      <c r="D744" s="103"/>
      <c r="E744" s="103"/>
      <c r="F744" s="103"/>
      <c r="G744" s="103"/>
      <c r="H744" s="103"/>
      <c r="I744" s="5"/>
    </row>
    <row r="745" spans="1:9" ht="15.75" customHeight="1" x14ac:dyDescent="0.2">
      <c r="A745" s="102"/>
      <c r="B745" s="102"/>
      <c r="C745" s="102"/>
      <c r="D745" s="103"/>
      <c r="E745" s="103"/>
      <c r="F745" s="103"/>
      <c r="G745" s="103"/>
      <c r="H745" s="103"/>
      <c r="I745" s="5"/>
    </row>
    <row r="746" spans="1:9" ht="15.75" customHeight="1" x14ac:dyDescent="0.2">
      <c r="A746" s="102"/>
      <c r="B746" s="102"/>
      <c r="C746" s="102"/>
      <c r="D746" s="103"/>
      <c r="E746" s="103"/>
      <c r="F746" s="103"/>
      <c r="G746" s="103"/>
      <c r="H746" s="103"/>
      <c r="I746" s="5"/>
    </row>
    <row r="747" spans="1:9" ht="15.75" customHeight="1" x14ac:dyDescent="0.2">
      <c r="A747" s="102"/>
      <c r="B747" s="102"/>
      <c r="C747" s="102"/>
      <c r="D747" s="103"/>
      <c r="E747" s="103"/>
      <c r="F747" s="103"/>
      <c r="G747" s="103"/>
      <c r="H747" s="103"/>
      <c r="I747" s="5"/>
    </row>
    <row r="748" spans="1:9" ht="15.75" customHeight="1" x14ac:dyDescent="0.2">
      <c r="A748" s="102"/>
      <c r="B748" s="102"/>
      <c r="C748" s="102"/>
      <c r="D748" s="103"/>
      <c r="E748" s="103"/>
      <c r="F748" s="103"/>
      <c r="G748" s="103"/>
      <c r="H748" s="103"/>
      <c r="I748" s="5"/>
    </row>
    <row r="749" spans="1:9" ht="15.75" customHeight="1" x14ac:dyDescent="0.2">
      <c r="A749" s="102"/>
      <c r="B749" s="102"/>
      <c r="C749" s="102"/>
      <c r="D749" s="103"/>
      <c r="E749" s="103"/>
      <c r="F749" s="103"/>
      <c r="G749" s="103"/>
      <c r="H749" s="103"/>
      <c r="I749" s="5"/>
    </row>
    <row r="750" spans="1:9" ht="15.75" customHeight="1" x14ac:dyDescent="0.2">
      <c r="A750" s="102"/>
      <c r="B750" s="102"/>
      <c r="C750" s="102"/>
      <c r="D750" s="103"/>
      <c r="E750" s="103"/>
      <c r="F750" s="103"/>
      <c r="G750" s="103"/>
      <c r="H750" s="103"/>
      <c r="I750" s="5"/>
    </row>
    <row r="751" spans="1:9" ht="15.75" customHeight="1" x14ac:dyDescent="0.2">
      <c r="A751" s="102"/>
      <c r="B751" s="102"/>
      <c r="C751" s="102"/>
      <c r="D751" s="103"/>
      <c r="E751" s="103"/>
      <c r="F751" s="103"/>
      <c r="G751" s="103"/>
      <c r="H751" s="103"/>
      <c r="I751" s="5"/>
    </row>
    <row r="752" spans="1:9" ht="15.75" customHeight="1" x14ac:dyDescent="0.2">
      <c r="A752" s="102"/>
      <c r="B752" s="102"/>
      <c r="C752" s="102"/>
      <c r="D752" s="103"/>
      <c r="E752" s="103"/>
      <c r="F752" s="103"/>
      <c r="G752" s="103"/>
      <c r="H752" s="103"/>
      <c r="I752" s="5"/>
    </row>
    <row r="753" spans="1:9" ht="15.75" customHeight="1" x14ac:dyDescent="0.2">
      <c r="A753" s="102"/>
      <c r="B753" s="102"/>
      <c r="C753" s="102"/>
      <c r="D753" s="103"/>
      <c r="E753" s="103"/>
      <c r="F753" s="103"/>
      <c r="G753" s="103"/>
      <c r="H753" s="103"/>
      <c r="I753" s="5"/>
    </row>
    <row r="754" spans="1:9" ht="15.75" customHeight="1" x14ac:dyDescent="0.2">
      <c r="A754" s="102"/>
      <c r="B754" s="102"/>
      <c r="C754" s="102"/>
      <c r="D754" s="103"/>
      <c r="E754" s="103"/>
      <c r="F754" s="103"/>
      <c r="G754" s="103"/>
      <c r="H754" s="103"/>
      <c r="I754" s="5"/>
    </row>
    <row r="755" spans="1:9" ht="15.75" customHeight="1" x14ac:dyDescent="0.2">
      <c r="A755" s="102"/>
      <c r="B755" s="102"/>
      <c r="C755" s="102"/>
      <c r="D755" s="103"/>
      <c r="E755" s="103"/>
      <c r="F755" s="103"/>
      <c r="G755" s="103"/>
      <c r="H755" s="103"/>
      <c r="I755" s="5"/>
    </row>
    <row r="756" spans="1:9" ht="15.75" customHeight="1" x14ac:dyDescent="0.2">
      <c r="A756" s="102"/>
      <c r="B756" s="102"/>
      <c r="C756" s="102"/>
      <c r="D756" s="103"/>
      <c r="E756" s="103"/>
      <c r="F756" s="103"/>
      <c r="G756" s="103"/>
      <c r="H756" s="103"/>
      <c r="I756" s="5"/>
    </row>
    <row r="757" spans="1:9" ht="15.75" customHeight="1" x14ac:dyDescent="0.2">
      <c r="A757" s="102"/>
      <c r="B757" s="102"/>
      <c r="C757" s="102"/>
      <c r="D757" s="103"/>
      <c r="E757" s="103"/>
      <c r="F757" s="103"/>
      <c r="G757" s="103"/>
      <c r="H757" s="103"/>
      <c r="I757" s="5"/>
    </row>
    <row r="758" spans="1:9" ht="15.75" customHeight="1" x14ac:dyDescent="0.2">
      <c r="A758" s="102"/>
      <c r="B758" s="102"/>
      <c r="C758" s="102"/>
      <c r="D758" s="103"/>
      <c r="E758" s="103"/>
      <c r="F758" s="103"/>
      <c r="G758" s="103"/>
      <c r="H758" s="103"/>
      <c r="I758" s="5"/>
    </row>
    <row r="759" spans="1:9" ht="15.75" customHeight="1" x14ac:dyDescent="0.2">
      <c r="A759" s="102"/>
      <c r="B759" s="102"/>
      <c r="C759" s="102"/>
      <c r="D759" s="103"/>
      <c r="E759" s="103"/>
      <c r="F759" s="103"/>
      <c r="G759" s="103"/>
      <c r="H759" s="103"/>
      <c r="I759" s="5"/>
    </row>
    <row r="760" spans="1:9" ht="15.75" customHeight="1" x14ac:dyDescent="0.2">
      <c r="A760" s="102"/>
      <c r="B760" s="102"/>
      <c r="C760" s="102"/>
      <c r="D760" s="103"/>
      <c r="E760" s="103"/>
      <c r="F760" s="103"/>
      <c r="G760" s="103"/>
      <c r="H760" s="103"/>
      <c r="I760" s="5"/>
    </row>
    <row r="761" spans="1:9" ht="15.75" customHeight="1" x14ac:dyDescent="0.2">
      <c r="A761" s="102"/>
      <c r="B761" s="102"/>
      <c r="C761" s="102"/>
      <c r="D761" s="103"/>
      <c r="E761" s="103"/>
      <c r="F761" s="103"/>
      <c r="G761" s="103"/>
      <c r="H761" s="103"/>
      <c r="I761" s="5"/>
    </row>
    <row r="762" spans="1:9" ht="15.75" customHeight="1" x14ac:dyDescent="0.2">
      <c r="A762" s="102"/>
      <c r="B762" s="102"/>
      <c r="C762" s="102"/>
      <c r="D762" s="103"/>
      <c r="E762" s="103"/>
      <c r="F762" s="103"/>
      <c r="G762" s="103"/>
      <c r="H762" s="103"/>
      <c r="I762" s="5"/>
    </row>
    <row r="763" spans="1:9" ht="15.75" customHeight="1" x14ac:dyDescent="0.2">
      <c r="A763" s="102"/>
      <c r="B763" s="102"/>
      <c r="C763" s="102"/>
      <c r="D763" s="103"/>
      <c r="E763" s="103"/>
      <c r="F763" s="103"/>
      <c r="G763" s="103"/>
      <c r="H763" s="103"/>
      <c r="I763" s="5"/>
    </row>
    <row r="764" spans="1:9" ht="15.75" customHeight="1" x14ac:dyDescent="0.2">
      <c r="A764" s="102"/>
      <c r="B764" s="102"/>
      <c r="C764" s="102"/>
      <c r="D764" s="103"/>
      <c r="E764" s="103"/>
      <c r="F764" s="103"/>
      <c r="G764" s="103"/>
      <c r="H764" s="103"/>
      <c r="I764" s="5"/>
    </row>
    <row r="765" spans="1:9" ht="15.75" customHeight="1" x14ac:dyDescent="0.2">
      <c r="A765" s="102"/>
      <c r="B765" s="102"/>
      <c r="C765" s="102"/>
      <c r="D765" s="103"/>
      <c r="E765" s="103"/>
      <c r="F765" s="103"/>
      <c r="G765" s="103"/>
      <c r="H765" s="103"/>
      <c r="I765" s="5"/>
    </row>
    <row r="766" spans="1:9" ht="15.75" customHeight="1" x14ac:dyDescent="0.2">
      <c r="A766" s="102"/>
      <c r="B766" s="102"/>
      <c r="C766" s="102"/>
      <c r="D766" s="103"/>
      <c r="E766" s="103"/>
      <c r="F766" s="103"/>
      <c r="G766" s="103"/>
      <c r="H766" s="103"/>
      <c r="I766" s="5"/>
    </row>
    <row r="767" spans="1:9" ht="15.75" customHeight="1" x14ac:dyDescent="0.2">
      <c r="A767" s="102"/>
      <c r="B767" s="102"/>
      <c r="C767" s="102"/>
      <c r="D767" s="103"/>
      <c r="E767" s="103"/>
      <c r="F767" s="103"/>
      <c r="G767" s="103"/>
      <c r="H767" s="103"/>
      <c r="I767" s="5"/>
    </row>
    <row r="768" spans="1:9" ht="15.75" customHeight="1" x14ac:dyDescent="0.2">
      <c r="A768" s="102"/>
      <c r="B768" s="102"/>
      <c r="C768" s="102"/>
      <c r="D768" s="103"/>
      <c r="E768" s="103"/>
      <c r="F768" s="103"/>
      <c r="G768" s="103"/>
      <c r="H768" s="103"/>
      <c r="I768" s="5"/>
    </row>
    <row r="769" spans="1:9" ht="15.75" customHeight="1" x14ac:dyDescent="0.2">
      <c r="A769" s="102"/>
      <c r="B769" s="102"/>
      <c r="C769" s="102"/>
      <c r="D769" s="103"/>
      <c r="E769" s="103"/>
      <c r="F769" s="103"/>
      <c r="G769" s="103"/>
      <c r="H769" s="103"/>
      <c r="I769" s="5"/>
    </row>
    <row r="770" spans="1:9" ht="15.75" customHeight="1" x14ac:dyDescent="0.2">
      <c r="A770" s="102"/>
      <c r="B770" s="102"/>
      <c r="C770" s="102"/>
      <c r="D770" s="103"/>
      <c r="E770" s="103"/>
      <c r="F770" s="103"/>
      <c r="G770" s="103"/>
      <c r="H770" s="103"/>
      <c r="I770" s="5"/>
    </row>
    <row r="771" spans="1:9" ht="15.75" customHeight="1" x14ac:dyDescent="0.2">
      <c r="A771" s="102"/>
      <c r="B771" s="102"/>
      <c r="C771" s="102"/>
      <c r="D771" s="103"/>
      <c r="E771" s="103"/>
      <c r="F771" s="103"/>
      <c r="G771" s="103"/>
      <c r="H771" s="103"/>
      <c r="I771" s="5"/>
    </row>
    <row r="772" spans="1:9" ht="15.75" customHeight="1" x14ac:dyDescent="0.2">
      <c r="A772" s="102"/>
      <c r="B772" s="102"/>
      <c r="C772" s="102"/>
      <c r="D772" s="103"/>
      <c r="E772" s="103"/>
      <c r="F772" s="103"/>
      <c r="G772" s="103"/>
      <c r="H772" s="103"/>
      <c r="I772" s="5"/>
    </row>
    <row r="773" spans="1:9" ht="15.75" customHeight="1" x14ac:dyDescent="0.2">
      <c r="A773" s="102"/>
      <c r="B773" s="102"/>
      <c r="C773" s="102"/>
      <c r="D773" s="103"/>
      <c r="E773" s="103"/>
      <c r="F773" s="103"/>
      <c r="G773" s="103"/>
      <c r="H773" s="103"/>
      <c r="I773" s="5"/>
    </row>
    <row r="774" spans="1:9" ht="15.75" customHeight="1" x14ac:dyDescent="0.2">
      <c r="A774" s="102"/>
      <c r="B774" s="102"/>
      <c r="C774" s="102"/>
      <c r="D774" s="103"/>
      <c r="E774" s="103"/>
      <c r="F774" s="103"/>
      <c r="G774" s="103"/>
      <c r="H774" s="103"/>
      <c r="I774" s="5"/>
    </row>
    <row r="775" spans="1:9" ht="15.75" customHeight="1" x14ac:dyDescent="0.2">
      <c r="A775" s="102"/>
      <c r="B775" s="102"/>
      <c r="C775" s="102"/>
      <c r="D775" s="103"/>
      <c r="E775" s="103"/>
      <c r="F775" s="103"/>
      <c r="G775" s="103"/>
      <c r="H775" s="103"/>
      <c r="I775" s="5"/>
    </row>
    <row r="776" spans="1:9" ht="15.75" customHeight="1" x14ac:dyDescent="0.2">
      <c r="A776" s="102"/>
      <c r="B776" s="102"/>
      <c r="C776" s="102"/>
      <c r="D776" s="103"/>
      <c r="E776" s="103"/>
      <c r="F776" s="103"/>
      <c r="G776" s="103"/>
      <c r="H776" s="103"/>
      <c r="I776" s="5"/>
    </row>
    <row r="777" spans="1:9" ht="15.75" customHeight="1" x14ac:dyDescent="0.2">
      <c r="A777" s="102"/>
      <c r="B777" s="102"/>
      <c r="C777" s="102"/>
      <c r="D777" s="103"/>
      <c r="E777" s="103"/>
      <c r="F777" s="103"/>
      <c r="G777" s="103"/>
      <c r="H777" s="103"/>
      <c r="I777" s="5"/>
    </row>
    <row r="778" spans="1:9" ht="15.75" customHeight="1" x14ac:dyDescent="0.2">
      <c r="A778" s="102"/>
      <c r="B778" s="102"/>
      <c r="C778" s="102"/>
      <c r="D778" s="103"/>
      <c r="E778" s="103"/>
      <c r="F778" s="103"/>
      <c r="G778" s="103"/>
      <c r="H778" s="103"/>
      <c r="I778" s="5"/>
    </row>
    <row r="779" spans="1:9" ht="15.75" customHeight="1" x14ac:dyDescent="0.2">
      <c r="A779" s="102"/>
      <c r="B779" s="102"/>
      <c r="C779" s="102"/>
      <c r="D779" s="103"/>
      <c r="E779" s="103"/>
      <c r="F779" s="103"/>
      <c r="G779" s="103"/>
      <c r="H779" s="103"/>
      <c r="I779" s="5"/>
    </row>
    <row r="780" spans="1:9" ht="15.75" customHeight="1" x14ac:dyDescent="0.2">
      <c r="A780" s="102"/>
      <c r="B780" s="102"/>
      <c r="C780" s="102"/>
      <c r="D780" s="103"/>
      <c r="E780" s="103"/>
      <c r="F780" s="103"/>
      <c r="G780" s="103"/>
      <c r="H780" s="103"/>
      <c r="I780" s="5"/>
    </row>
    <row r="781" spans="1:9" ht="15.75" customHeight="1" x14ac:dyDescent="0.2">
      <c r="A781" s="102"/>
      <c r="B781" s="102"/>
      <c r="C781" s="102"/>
      <c r="D781" s="103"/>
      <c r="E781" s="103"/>
      <c r="F781" s="103"/>
      <c r="G781" s="103"/>
      <c r="H781" s="103"/>
      <c r="I781" s="5"/>
    </row>
    <row r="782" spans="1:9" ht="15.75" customHeight="1" x14ac:dyDescent="0.2">
      <c r="A782" s="102"/>
      <c r="B782" s="102"/>
      <c r="C782" s="102"/>
      <c r="D782" s="103"/>
      <c r="E782" s="103"/>
      <c r="F782" s="103"/>
      <c r="G782" s="103"/>
      <c r="H782" s="103"/>
      <c r="I782" s="5"/>
    </row>
    <row r="783" spans="1:9" ht="15.75" customHeight="1" x14ac:dyDescent="0.2">
      <c r="A783" s="102"/>
      <c r="B783" s="102"/>
      <c r="C783" s="102"/>
      <c r="D783" s="103"/>
      <c r="E783" s="103"/>
      <c r="F783" s="103"/>
      <c r="G783" s="103"/>
      <c r="H783" s="103"/>
      <c r="I783" s="5"/>
    </row>
    <row r="784" spans="1:9" ht="15.75" customHeight="1" x14ac:dyDescent="0.2">
      <c r="A784" s="102"/>
      <c r="B784" s="102"/>
      <c r="C784" s="102"/>
      <c r="D784" s="103"/>
      <c r="E784" s="103"/>
      <c r="F784" s="103"/>
      <c r="G784" s="103"/>
      <c r="H784" s="103"/>
      <c r="I784" s="5"/>
    </row>
    <row r="785" spans="1:9" ht="15.75" customHeight="1" x14ac:dyDescent="0.2">
      <c r="A785" s="102"/>
      <c r="B785" s="102"/>
      <c r="C785" s="102"/>
      <c r="D785" s="103"/>
      <c r="E785" s="103"/>
      <c r="F785" s="103"/>
      <c r="G785" s="103"/>
      <c r="H785" s="103"/>
      <c r="I785" s="5"/>
    </row>
    <row r="786" spans="1:9" ht="15.75" customHeight="1" x14ac:dyDescent="0.2">
      <c r="A786" s="102"/>
      <c r="B786" s="102"/>
      <c r="C786" s="102"/>
      <c r="D786" s="103"/>
      <c r="E786" s="103"/>
      <c r="F786" s="103"/>
      <c r="G786" s="103"/>
      <c r="H786" s="103"/>
      <c r="I786" s="5"/>
    </row>
    <row r="787" spans="1:9" ht="15.75" customHeight="1" x14ac:dyDescent="0.2">
      <c r="A787" s="102"/>
      <c r="B787" s="102"/>
      <c r="C787" s="102"/>
      <c r="D787" s="103"/>
      <c r="E787" s="103"/>
      <c r="F787" s="103"/>
      <c r="G787" s="103"/>
      <c r="H787" s="103"/>
      <c r="I787" s="5"/>
    </row>
    <row r="788" spans="1:9" ht="15.75" customHeight="1" x14ac:dyDescent="0.2">
      <c r="A788" s="102"/>
      <c r="B788" s="102"/>
      <c r="C788" s="102"/>
      <c r="D788" s="103"/>
      <c r="E788" s="103"/>
      <c r="F788" s="103"/>
      <c r="G788" s="103"/>
      <c r="H788" s="103"/>
      <c r="I788" s="5"/>
    </row>
    <row r="789" spans="1:9" ht="15.75" customHeight="1" x14ac:dyDescent="0.2">
      <c r="A789" s="102"/>
      <c r="B789" s="102"/>
      <c r="C789" s="102"/>
      <c r="D789" s="103"/>
      <c r="E789" s="103"/>
      <c r="F789" s="103"/>
      <c r="G789" s="103"/>
      <c r="H789" s="103"/>
      <c r="I789" s="5"/>
    </row>
    <row r="790" spans="1:9" ht="15.75" customHeight="1" x14ac:dyDescent="0.2">
      <c r="A790" s="102"/>
      <c r="B790" s="102"/>
      <c r="C790" s="102"/>
      <c r="D790" s="103"/>
      <c r="E790" s="103"/>
      <c r="F790" s="103"/>
      <c r="G790" s="103"/>
      <c r="H790" s="103"/>
      <c r="I790" s="5"/>
    </row>
    <row r="791" spans="1:9" ht="15.75" customHeight="1" x14ac:dyDescent="0.2">
      <c r="A791" s="102"/>
      <c r="B791" s="102"/>
      <c r="C791" s="102"/>
      <c r="D791" s="103"/>
      <c r="E791" s="103"/>
      <c r="F791" s="103"/>
      <c r="G791" s="103"/>
      <c r="H791" s="103"/>
      <c r="I791" s="5"/>
    </row>
    <row r="792" spans="1:9" ht="15.75" customHeight="1" x14ac:dyDescent="0.2">
      <c r="A792" s="102"/>
      <c r="B792" s="102"/>
      <c r="C792" s="102"/>
      <c r="D792" s="103"/>
      <c r="E792" s="103"/>
      <c r="F792" s="103"/>
      <c r="G792" s="103"/>
      <c r="H792" s="103"/>
      <c r="I792" s="5"/>
    </row>
    <row r="793" spans="1:9" ht="15.75" customHeight="1" x14ac:dyDescent="0.2">
      <c r="A793" s="102"/>
      <c r="B793" s="102"/>
      <c r="C793" s="102"/>
      <c r="D793" s="103"/>
      <c r="E793" s="103"/>
      <c r="F793" s="103"/>
      <c r="G793" s="103"/>
      <c r="H793" s="103"/>
      <c r="I793" s="5"/>
    </row>
    <row r="794" spans="1:9" ht="15.75" customHeight="1" x14ac:dyDescent="0.2">
      <c r="A794" s="102"/>
      <c r="B794" s="102"/>
      <c r="C794" s="102"/>
      <c r="D794" s="103"/>
      <c r="E794" s="103"/>
      <c r="F794" s="103"/>
      <c r="G794" s="103"/>
      <c r="H794" s="103"/>
      <c r="I794" s="5"/>
    </row>
    <row r="795" spans="1:9" ht="15.75" customHeight="1" x14ac:dyDescent="0.2">
      <c r="A795" s="102"/>
      <c r="B795" s="102"/>
      <c r="C795" s="102"/>
      <c r="D795" s="103"/>
      <c r="E795" s="103"/>
      <c r="F795" s="103"/>
      <c r="G795" s="103"/>
      <c r="H795" s="103"/>
      <c r="I795" s="5"/>
    </row>
    <row r="796" spans="1:9" ht="15.75" customHeight="1" x14ac:dyDescent="0.2">
      <c r="A796" s="102"/>
      <c r="B796" s="102"/>
      <c r="C796" s="102"/>
      <c r="D796" s="103"/>
      <c r="E796" s="103"/>
      <c r="F796" s="103"/>
      <c r="G796" s="103"/>
      <c r="H796" s="103"/>
      <c r="I796" s="5"/>
    </row>
    <row r="797" spans="1:9" ht="15.75" customHeight="1" x14ac:dyDescent="0.2">
      <c r="A797" s="102"/>
      <c r="B797" s="102"/>
      <c r="C797" s="102"/>
      <c r="D797" s="103"/>
      <c r="E797" s="103"/>
      <c r="F797" s="103"/>
      <c r="G797" s="103"/>
      <c r="H797" s="103"/>
      <c r="I797" s="5"/>
    </row>
    <row r="798" spans="1:9" ht="15.75" customHeight="1" x14ac:dyDescent="0.2">
      <c r="A798" s="102"/>
      <c r="B798" s="102"/>
      <c r="C798" s="102"/>
      <c r="D798" s="103"/>
      <c r="E798" s="103"/>
      <c r="F798" s="103"/>
      <c r="G798" s="103"/>
      <c r="H798" s="103"/>
      <c r="I798" s="5"/>
    </row>
    <row r="799" spans="1:9" ht="15.75" customHeight="1" x14ac:dyDescent="0.2">
      <c r="A799" s="102"/>
      <c r="B799" s="102"/>
      <c r="C799" s="102"/>
      <c r="D799" s="103"/>
      <c r="E799" s="103"/>
      <c r="F799" s="103"/>
      <c r="G799" s="103"/>
      <c r="H799" s="103"/>
      <c r="I799" s="5"/>
    </row>
    <row r="800" spans="1:9" ht="15.75" customHeight="1" x14ac:dyDescent="0.2">
      <c r="A800" s="102"/>
      <c r="B800" s="102"/>
      <c r="C800" s="102"/>
      <c r="D800" s="103"/>
      <c r="E800" s="103"/>
      <c r="F800" s="103"/>
      <c r="G800" s="103"/>
      <c r="H800" s="103"/>
      <c r="I800" s="5"/>
    </row>
    <row r="801" spans="1:9" ht="15.75" customHeight="1" x14ac:dyDescent="0.2">
      <c r="A801" s="102"/>
      <c r="B801" s="102"/>
      <c r="C801" s="102"/>
      <c r="D801" s="103"/>
      <c r="E801" s="103"/>
      <c r="F801" s="103"/>
      <c r="G801" s="103"/>
      <c r="H801" s="103"/>
      <c r="I801" s="5"/>
    </row>
    <row r="802" spans="1:9" ht="15.75" customHeight="1" x14ac:dyDescent="0.2">
      <c r="A802" s="102"/>
      <c r="B802" s="102"/>
      <c r="C802" s="102"/>
      <c r="D802" s="103"/>
      <c r="E802" s="103"/>
      <c r="F802" s="103"/>
      <c r="G802" s="103"/>
      <c r="H802" s="103"/>
      <c r="I802" s="5"/>
    </row>
    <row r="803" spans="1:9" ht="15.75" customHeight="1" x14ac:dyDescent="0.2">
      <c r="A803" s="102"/>
      <c r="B803" s="102"/>
      <c r="C803" s="102"/>
      <c r="D803" s="103"/>
      <c r="E803" s="103"/>
      <c r="F803" s="103"/>
      <c r="G803" s="103"/>
      <c r="H803" s="103"/>
      <c r="I803" s="5"/>
    </row>
    <row r="804" spans="1:9" ht="15.75" customHeight="1" x14ac:dyDescent="0.2">
      <c r="A804" s="102"/>
      <c r="B804" s="102"/>
      <c r="C804" s="102"/>
      <c r="D804" s="103"/>
      <c r="E804" s="103"/>
      <c r="F804" s="103"/>
      <c r="G804" s="103"/>
      <c r="H804" s="103"/>
      <c r="I804" s="5"/>
    </row>
    <row r="805" spans="1:9" ht="15.75" customHeight="1" x14ac:dyDescent="0.2">
      <c r="A805" s="102"/>
      <c r="B805" s="102"/>
      <c r="C805" s="102"/>
      <c r="D805" s="103"/>
      <c r="E805" s="103"/>
      <c r="F805" s="103"/>
      <c r="G805" s="103"/>
      <c r="H805" s="103"/>
      <c r="I805" s="5"/>
    </row>
    <row r="806" spans="1:9" ht="15.75" customHeight="1" x14ac:dyDescent="0.2">
      <c r="A806" s="102"/>
      <c r="B806" s="102"/>
      <c r="C806" s="102"/>
      <c r="D806" s="103"/>
      <c r="E806" s="103"/>
      <c r="F806" s="103"/>
      <c r="G806" s="103"/>
      <c r="H806" s="103"/>
      <c r="I806" s="5"/>
    </row>
    <row r="807" spans="1:9" ht="15.75" customHeight="1" x14ac:dyDescent="0.2">
      <c r="A807" s="102"/>
      <c r="B807" s="102"/>
      <c r="C807" s="102"/>
      <c r="D807" s="103"/>
      <c r="E807" s="103"/>
      <c r="F807" s="103"/>
      <c r="G807" s="103"/>
      <c r="H807" s="103"/>
      <c r="I807" s="5"/>
    </row>
    <row r="808" spans="1:9" ht="15.75" customHeight="1" x14ac:dyDescent="0.2">
      <c r="A808" s="102"/>
      <c r="B808" s="102"/>
      <c r="C808" s="102"/>
      <c r="D808" s="103"/>
      <c r="E808" s="103"/>
      <c r="F808" s="103"/>
      <c r="G808" s="103"/>
      <c r="H808" s="103"/>
      <c r="I808" s="5"/>
    </row>
    <row r="809" spans="1:9" ht="15.75" customHeight="1" x14ac:dyDescent="0.2">
      <c r="A809" s="102"/>
      <c r="B809" s="102"/>
      <c r="C809" s="102"/>
      <c r="D809" s="103"/>
      <c r="E809" s="103"/>
      <c r="F809" s="103"/>
      <c r="G809" s="103"/>
      <c r="H809" s="103"/>
      <c r="I809" s="5"/>
    </row>
    <row r="810" spans="1:9" ht="15.75" customHeight="1" x14ac:dyDescent="0.2">
      <c r="A810" s="102"/>
      <c r="B810" s="102"/>
      <c r="C810" s="102"/>
      <c r="D810" s="103"/>
      <c r="E810" s="103"/>
      <c r="F810" s="103"/>
      <c r="G810" s="103"/>
      <c r="H810" s="103"/>
      <c r="I810" s="5"/>
    </row>
    <row r="811" spans="1:9" ht="15.75" customHeight="1" x14ac:dyDescent="0.2">
      <c r="A811" s="102"/>
      <c r="B811" s="102"/>
      <c r="C811" s="102"/>
      <c r="D811" s="103"/>
      <c r="E811" s="103"/>
      <c r="F811" s="103"/>
      <c r="G811" s="103"/>
      <c r="H811" s="103"/>
      <c r="I811" s="5"/>
    </row>
    <row r="812" spans="1:9" ht="15.75" customHeight="1" x14ac:dyDescent="0.2">
      <c r="A812" s="102"/>
      <c r="B812" s="102"/>
      <c r="C812" s="102"/>
      <c r="D812" s="103"/>
      <c r="E812" s="103"/>
      <c r="F812" s="103"/>
      <c r="G812" s="103"/>
      <c r="H812" s="103"/>
      <c r="I812" s="5"/>
    </row>
    <row r="813" spans="1:9" ht="15.75" customHeight="1" x14ac:dyDescent="0.2">
      <c r="A813" s="102"/>
      <c r="B813" s="102"/>
      <c r="C813" s="102"/>
      <c r="D813" s="103"/>
      <c r="E813" s="103"/>
      <c r="F813" s="103"/>
      <c r="G813" s="103"/>
      <c r="H813" s="103"/>
      <c r="I813" s="5"/>
    </row>
    <row r="814" spans="1:9" ht="15.75" customHeight="1" x14ac:dyDescent="0.2">
      <c r="A814" s="102"/>
      <c r="B814" s="102"/>
      <c r="C814" s="102"/>
      <c r="D814" s="103"/>
      <c r="E814" s="103"/>
      <c r="F814" s="103"/>
      <c r="G814" s="103"/>
      <c r="H814" s="103"/>
      <c r="I814" s="5"/>
    </row>
    <row r="815" spans="1:9" ht="15.75" customHeight="1" x14ac:dyDescent="0.2">
      <c r="A815" s="102"/>
      <c r="B815" s="102"/>
      <c r="C815" s="102"/>
      <c r="D815" s="103"/>
      <c r="E815" s="103"/>
      <c r="F815" s="103"/>
      <c r="G815" s="103"/>
      <c r="H815" s="103"/>
      <c r="I815" s="5"/>
    </row>
    <row r="816" spans="1:9" ht="15.75" customHeight="1" x14ac:dyDescent="0.2">
      <c r="A816" s="102"/>
      <c r="B816" s="102"/>
      <c r="C816" s="102"/>
      <c r="D816" s="103"/>
      <c r="E816" s="103"/>
      <c r="F816" s="103"/>
      <c r="G816" s="103"/>
      <c r="H816" s="103"/>
      <c r="I816" s="5"/>
    </row>
    <row r="817" spans="1:9" ht="15.75" customHeight="1" x14ac:dyDescent="0.2">
      <c r="A817" s="102"/>
      <c r="B817" s="102"/>
      <c r="C817" s="102"/>
      <c r="D817" s="103"/>
      <c r="E817" s="103"/>
      <c r="F817" s="103"/>
      <c r="G817" s="103"/>
      <c r="H817" s="103"/>
      <c r="I817" s="5"/>
    </row>
    <row r="818" spans="1:9" ht="15.75" customHeight="1" x14ac:dyDescent="0.2">
      <c r="A818" s="102"/>
      <c r="B818" s="102"/>
      <c r="C818" s="102"/>
      <c r="D818" s="103"/>
      <c r="E818" s="103"/>
      <c r="F818" s="103"/>
      <c r="G818" s="103"/>
      <c r="H818" s="103"/>
      <c r="I818" s="5"/>
    </row>
    <row r="819" spans="1:9" ht="15.75" customHeight="1" x14ac:dyDescent="0.2">
      <c r="A819" s="102"/>
      <c r="B819" s="102"/>
      <c r="C819" s="102"/>
      <c r="D819" s="103"/>
      <c r="E819" s="103"/>
      <c r="F819" s="103"/>
      <c r="G819" s="103"/>
      <c r="H819" s="103"/>
      <c r="I819" s="5"/>
    </row>
    <row r="820" spans="1:9" ht="15.75" customHeight="1" x14ac:dyDescent="0.2">
      <c r="A820" s="102"/>
      <c r="B820" s="102"/>
      <c r="C820" s="102"/>
      <c r="D820" s="103"/>
      <c r="E820" s="103"/>
      <c r="F820" s="103"/>
      <c r="G820" s="103"/>
      <c r="H820" s="103"/>
      <c r="I820" s="5"/>
    </row>
    <row r="821" spans="1:9" ht="15.75" customHeight="1" x14ac:dyDescent="0.2">
      <c r="A821" s="102"/>
      <c r="B821" s="102"/>
      <c r="C821" s="102"/>
      <c r="D821" s="103"/>
      <c r="E821" s="103"/>
      <c r="F821" s="103"/>
      <c r="G821" s="103"/>
      <c r="H821" s="103"/>
      <c r="I821" s="5"/>
    </row>
    <row r="822" spans="1:9" ht="15.75" customHeight="1" x14ac:dyDescent="0.2">
      <c r="A822" s="102"/>
      <c r="B822" s="102"/>
      <c r="C822" s="102"/>
      <c r="D822" s="103"/>
      <c r="E822" s="103"/>
      <c r="F822" s="103"/>
      <c r="G822" s="103"/>
      <c r="H822" s="103"/>
      <c r="I822" s="5"/>
    </row>
    <row r="823" spans="1:9" ht="15.75" customHeight="1" x14ac:dyDescent="0.2">
      <c r="A823" s="102"/>
      <c r="B823" s="102"/>
      <c r="C823" s="102"/>
      <c r="D823" s="103"/>
      <c r="E823" s="103"/>
      <c r="F823" s="103"/>
      <c r="G823" s="103"/>
      <c r="H823" s="103"/>
      <c r="I823" s="5"/>
    </row>
    <row r="824" spans="1:9" ht="15.75" customHeight="1" x14ac:dyDescent="0.2">
      <c r="A824" s="102"/>
      <c r="B824" s="102"/>
      <c r="C824" s="102"/>
      <c r="D824" s="103"/>
      <c r="E824" s="103"/>
      <c r="F824" s="103"/>
      <c r="G824" s="103"/>
      <c r="H824" s="103"/>
      <c r="I824" s="5"/>
    </row>
    <row r="825" spans="1:9" ht="15.75" customHeight="1" x14ac:dyDescent="0.2">
      <c r="A825" s="102"/>
      <c r="B825" s="102"/>
      <c r="C825" s="102"/>
      <c r="D825" s="103"/>
      <c r="E825" s="103"/>
      <c r="F825" s="103"/>
      <c r="G825" s="103"/>
      <c r="H825" s="103"/>
      <c r="I825" s="5"/>
    </row>
    <row r="826" spans="1:9" ht="15.75" customHeight="1" x14ac:dyDescent="0.2">
      <c r="A826" s="102"/>
      <c r="B826" s="102"/>
      <c r="C826" s="102"/>
      <c r="D826" s="103"/>
      <c r="E826" s="103"/>
      <c r="F826" s="103"/>
      <c r="G826" s="103"/>
      <c r="H826" s="103"/>
      <c r="I826" s="5"/>
    </row>
    <row r="827" spans="1:9" ht="15.75" customHeight="1" x14ac:dyDescent="0.2">
      <c r="A827" s="102"/>
      <c r="B827" s="102"/>
      <c r="C827" s="102"/>
      <c r="D827" s="103"/>
      <c r="E827" s="103"/>
      <c r="F827" s="103"/>
      <c r="G827" s="103"/>
      <c r="H827" s="103"/>
      <c r="I827" s="5"/>
    </row>
    <row r="828" spans="1:9" ht="15.75" customHeight="1" x14ac:dyDescent="0.2">
      <c r="A828" s="102"/>
      <c r="B828" s="102"/>
      <c r="C828" s="102"/>
      <c r="D828" s="103"/>
      <c r="E828" s="103"/>
      <c r="F828" s="103"/>
      <c r="G828" s="103"/>
      <c r="H828" s="103"/>
      <c r="I828" s="5"/>
    </row>
    <row r="829" spans="1:9" ht="15.75" customHeight="1" x14ac:dyDescent="0.2">
      <c r="A829" s="102"/>
      <c r="B829" s="102"/>
      <c r="C829" s="102"/>
      <c r="D829" s="103"/>
      <c r="E829" s="103"/>
      <c r="F829" s="103"/>
      <c r="G829" s="103"/>
      <c r="H829" s="103"/>
      <c r="I829" s="5"/>
    </row>
    <row r="830" spans="1:9" ht="15.75" customHeight="1" x14ac:dyDescent="0.2">
      <c r="A830" s="102"/>
      <c r="B830" s="102"/>
      <c r="C830" s="102"/>
      <c r="D830" s="103"/>
      <c r="E830" s="103"/>
      <c r="F830" s="103"/>
      <c r="G830" s="103"/>
      <c r="H830" s="103"/>
      <c r="I830" s="5"/>
    </row>
    <row r="831" spans="1:9" ht="15.75" customHeight="1" x14ac:dyDescent="0.2">
      <c r="A831" s="102"/>
      <c r="B831" s="102"/>
      <c r="C831" s="102"/>
      <c r="D831" s="103"/>
      <c r="E831" s="103"/>
      <c r="F831" s="103"/>
      <c r="G831" s="103"/>
      <c r="H831" s="103"/>
      <c r="I831" s="5"/>
    </row>
    <row r="832" spans="1:9" ht="15.75" customHeight="1" x14ac:dyDescent="0.2">
      <c r="A832" s="102"/>
      <c r="B832" s="102"/>
      <c r="C832" s="102"/>
      <c r="D832" s="103"/>
      <c r="E832" s="103"/>
      <c r="F832" s="103"/>
      <c r="G832" s="103"/>
      <c r="H832" s="103"/>
      <c r="I832" s="5"/>
    </row>
    <row r="833" spans="1:9" ht="15.75" customHeight="1" x14ac:dyDescent="0.2">
      <c r="A833" s="102"/>
      <c r="B833" s="102"/>
      <c r="C833" s="102"/>
      <c r="D833" s="103"/>
      <c r="E833" s="103"/>
      <c r="F833" s="103"/>
      <c r="G833" s="103"/>
      <c r="H833" s="103"/>
      <c r="I833" s="5"/>
    </row>
    <row r="834" spans="1:9" ht="15.75" customHeight="1" x14ac:dyDescent="0.2">
      <c r="A834" s="102"/>
      <c r="B834" s="102"/>
      <c r="C834" s="102"/>
      <c r="D834" s="103"/>
      <c r="E834" s="103"/>
      <c r="F834" s="103"/>
      <c r="G834" s="103"/>
      <c r="H834" s="103"/>
      <c r="I834" s="5"/>
    </row>
    <row r="835" spans="1:9" ht="15.75" customHeight="1" x14ac:dyDescent="0.2">
      <c r="A835" s="102"/>
      <c r="B835" s="102"/>
      <c r="C835" s="102"/>
      <c r="D835" s="103"/>
      <c r="E835" s="103"/>
      <c r="F835" s="103"/>
      <c r="G835" s="103"/>
      <c r="H835" s="103"/>
      <c r="I835" s="5"/>
    </row>
    <row r="836" spans="1:9" ht="15.75" customHeight="1" x14ac:dyDescent="0.2">
      <c r="A836" s="102"/>
      <c r="B836" s="102"/>
      <c r="C836" s="102"/>
      <c r="D836" s="103"/>
      <c r="E836" s="103"/>
      <c r="F836" s="103"/>
      <c r="G836" s="103"/>
      <c r="H836" s="103"/>
      <c r="I836" s="5"/>
    </row>
    <row r="837" spans="1:9" ht="15.75" customHeight="1" x14ac:dyDescent="0.2">
      <c r="A837" s="102"/>
      <c r="B837" s="102"/>
      <c r="C837" s="102"/>
      <c r="D837" s="103"/>
      <c r="E837" s="103"/>
      <c r="F837" s="103"/>
      <c r="G837" s="103"/>
      <c r="H837" s="103"/>
      <c r="I837" s="5"/>
    </row>
    <row r="838" spans="1:9" ht="15.75" customHeight="1" x14ac:dyDescent="0.2">
      <c r="A838" s="102"/>
      <c r="B838" s="102"/>
      <c r="C838" s="102"/>
      <c r="D838" s="103"/>
      <c r="E838" s="103"/>
      <c r="F838" s="103"/>
      <c r="G838" s="103"/>
      <c r="H838" s="103"/>
      <c r="I838" s="5"/>
    </row>
    <row r="839" spans="1:9" ht="15.75" customHeight="1" x14ac:dyDescent="0.2">
      <c r="A839" s="102"/>
      <c r="B839" s="102"/>
      <c r="C839" s="102"/>
      <c r="D839" s="103"/>
      <c r="E839" s="103"/>
      <c r="F839" s="103"/>
      <c r="G839" s="103"/>
      <c r="H839" s="103"/>
      <c r="I839" s="5"/>
    </row>
    <row r="840" spans="1:9" ht="15.75" customHeight="1" x14ac:dyDescent="0.2">
      <c r="A840" s="102"/>
      <c r="B840" s="102"/>
      <c r="C840" s="102"/>
      <c r="D840" s="103"/>
      <c r="E840" s="103"/>
      <c r="F840" s="103"/>
      <c r="G840" s="103"/>
      <c r="H840" s="103"/>
      <c r="I840" s="5"/>
    </row>
    <row r="841" spans="1:9" ht="15.75" customHeight="1" x14ac:dyDescent="0.2">
      <c r="A841" s="102"/>
      <c r="B841" s="102"/>
      <c r="C841" s="102"/>
      <c r="D841" s="103"/>
      <c r="E841" s="103"/>
      <c r="F841" s="103"/>
      <c r="G841" s="103"/>
      <c r="H841" s="103"/>
      <c r="I841" s="5"/>
    </row>
    <row r="842" spans="1:9" ht="15.75" customHeight="1" x14ac:dyDescent="0.2">
      <c r="A842" s="102"/>
      <c r="B842" s="102"/>
      <c r="C842" s="102"/>
      <c r="D842" s="103"/>
      <c r="E842" s="103"/>
      <c r="F842" s="103"/>
      <c r="G842" s="103"/>
      <c r="H842" s="103"/>
      <c r="I842" s="5"/>
    </row>
    <row r="843" spans="1:9" ht="15.75" customHeight="1" x14ac:dyDescent="0.2">
      <c r="A843" s="102"/>
      <c r="B843" s="102"/>
      <c r="C843" s="102"/>
      <c r="D843" s="103"/>
      <c r="E843" s="103"/>
      <c r="F843" s="103"/>
      <c r="G843" s="103"/>
      <c r="H843" s="103"/>
      <c r="I843" s="5"/>
    </row>
    <row r="844" spans="1:9" ht="15.75" customHeight="1" x14ac:dyDescent="0.2">
      <c r="A844" s="102"/>
      <c r="B844" s="102"/>
      <c r="C844" s="102"/>
      <c r="D844" s="103"/>
      <c r="E844" s="103"/>
      <c r="F844" s="103"/>
      <c r="G844" s="103"/>
      <c r="H844" s="103"/>
      <c r="I844" s="5"/>
    </row>
    <row r="845" spans="1:9" ht="15.75" customHeight="1" x14ac:dyDescent="0.2">
      <c r="A845" s="102"/>
      <c r="B845" s="102"/>
      <c r="C845" s="102"/>
      <c r="D845" s="103"/>
      <c r="E845" s="103"/>
      <c r="F845" s="103"/>
      <c r="G845" s="103"/>
      <c r="H845" s="103"/>
      <c r="I845" s="5"/>
    </row>
    <row r="846" spans="1:9" ht="15.75" customHeight="1" x14ac:dyDescent="0.2">
      <c r="A846" s="102"/>
      <c r="B846" s="102"/>
      <c r="C846" s="102"/>
      <c r="D846" s="103"/>
      <c r="E846" s="103"/>
      <c r="F846" s="103"/>
      <c r="G846" s="103"/>
      <c r="H846" s="103"/>
      <c r="I846" s="5"/>
    </row>
    <row r="847" spans="1:9" ht="15.75" customHeight="1" x14ac:dyDescent="0.2">
      <c r="A847" s="102"/>
      <c r="B847" s="102"/>
      <c r="C847" s="102"/>
      <c r="D847" s="103"/>
      <c r="E847" s="103"/>
      <c r="F847" s="103"/>
      <c r="G847" s="103"/>
      <c r="H847" s="103"/>
      <c r="I847" s="5"/>
    </row>
    <row r="848" spans="1:9" ht="15.75" customHeight="1" x14ac:dyDescent="0.2">
      <c r="A848" s="102"/>
      <c r="B848" s="102"/>
      <c r="C848" s="102"/>
      <c r="D848" s="103"/>
      <c r="E848" s="103"/>
      <c r="F848" s="103"/>
      <c r="G848" s="103"/>
      <c r="H848" s="103"/>
      <c r="I848" s="5"/>
    </row>
    <row r="849" spans="1:9" ht="15.75" customHeight="1" x14ac:dyDescent="0.2">
      <c r="A849" s="102"/>
      <c r="B849" s="102"/>
      <c r="C849" s="102"/>
      <c r="D849" s="103"/>
      <c r="E849" s="103"/>
      <c r="F849" s="103"/>
      <c r="G849" s="103"/>
      <c r="H849" s="103"/>
      <c r="I849" s="5"/>
    </row>
    <row r="850" spans="1:9" ht="15.75" customHeight="1" x14ac:dyDescent="0.2">
      <c r="A850" s="102"/>
      <c r="B850" s="102"/>
      <c r="C850" s="102"/>
      <c r="D850" s="103"/>
      <c r="E850" s="103"/>
      <c r="F850" s="103"/>
      <c r="G850" s="103"/>
      <c r="H850" s="103"/>
      <c r="I850" s="5"/>
    </row>
    <row r="851" spans="1:9" ht="15.75" customHeight="1" x14ac:dyDescent="0.2">
      <c r="A851" s="102"/>
      <c r="B851" s="102"/>
      <c r="C851" s="102"/>
      <c r="D851" s="103"/>
      <c r="E851" s="103"/>
      <c r="F851" s="103"/>
      <c r="G851" s="103"/>
      <c r="H851" s="103"/>
      <c r="I851" s="5"/>
    </row>
    <row r="852" spans="1:9" ht="15.75" customHeight="1" x14ac:dyDescent="0.2">
      <c r="A852" s="102"/>
      <c r="B852" s="102"/>
      <c r="C852" s="102"/>
      <c r="D852" s="103"/>
      <c r="E852" s="103"/>
      <c r="F852" s="103"/>
      <c r="G852" s="103"/>
      <c r="H852" s="103"/>
      <c r="I852" s="5"/>
    </row>
    <row r="853" spans="1:9" ht="15.75" customHeight="1" x14ac:dyDescent="0.2">
      <c r="A853" s="102"/>
      <c r="B853" s="102"/>
      <c r="C853" s="102"/>
      <c r="D853" s="103"/>
      <c r="E853" s="103"/>
      <c r="F853" s="103"/>
      <c r="G853" s="103"/>
      <c r="H853" s="103"/>
      <c r="I853" s="5"/>
    </row>
    <row r="854" spans="1:9" ht="15.75" customHeight="1" x14ac:dyDescent="0.2">
      <c r="A854" s="102"/>
      <c r="B854" s="102"/>
      <c r="C854" s="102"/>
      <c r="D854" s="103"/>
      <c r="E854" s="103"/>
      <c r="F854" s="103"/>
      <c r="G854" s="103"/>
      <c r="H854" s="103"/>
      <c r="I854" s="5"/>
    </row>
    <row r="855" spans="1:9" ht="15.75" customHeight="1" x14ac:dyDescent="0.2">
      <c r="A855" s="102"/>
      <c r="B855" s="102"/>
      <c r="C855" s="102"/>
      <c r="D855" s="103"/>
      <c r="E855" s="103"/>
      <c r="F855" s="103"/>
      <c r="G855" s="103"/>
      <c r="H855" s="103"/>
      <c r="I855" s="5"/>
    </row>
    <row r="856" spans="1:9" ht="15.75" customHeight="1" x14ac:dyDescent="0.2">
      <c r="A856" s="102"/>
      <c r="B856" s="102"/>
      <c r="C856" s="102"/>
      <c r="D856" s="103"/>
      <c r="E856" s="103"/>
      <c r="F856" s="103"/>
      <c r="G856" s="103"/>
      <c r="H856" s="103"/>
      <c r="I856" s="5"/>
    </row>
    <row r="857" spans="1:9" ht="15.75" customHeight="1" x14ac:dyDescent="0.2">
      <c r="A857" s="102"/>
      <c r="B857" s="102"/>
      <c r="C857" s="102"/>
      <c r="D857" s="103"/>
      <c r="E857" s="103"/>
      <c r="F857" s="103"/>
      <c r="G857" s="103"/>
      <c r="H857" s="103"/>
      <c r="I857" s="5"/>
    </row>
    <row r="858" spans="1:9" ht="15.75" customHeight="1" x14ac:dyDescent="0.2">
      <c r="A858" s="102"/>
      <c r="B858" s="102"/>
      <c r="C858" s="102"/>
      <c r="D858" s="103"/>
      <c r="E858" s="103"/>
      <c r="F858" s="103"/>
      <c r="G858" s="103"/>
      <c r="H858" s="103"/>
      <c r="I858" s="5"/>
    </row>
    <row r="859" spans="1:9" ht="15.75" customHeight="1" x14ac:dyDescent="0.2">
      <c r="A859" s="102"/>
      <c r="B859" s="102"/>
      <c r="C859" s="102"/>
      <c r="D859" s="103"/>
      <c r="E859" s="103"/>
      <c r="F859" s="103"/>
      <c r="G859" s="103"/>
      <c r="H859" s="103"/>
      <c r="I859" s="5"/>
    </row>
    <row r="860" spans="1:9" ht="15.75" customHeight="1" x14ac:dyDescent="0.2">
      <c r="A860" s="102"/>
      <c r="B860" s="102"/>
      <c r="C860" s="102"/>
      <c r="D860" s="103"/>
      <c r="E860" s="103"/>
      <c r="F860" s="103"/>
      <c r="G860" s="103"/>
      <c r="H860" s="103"/>
      <c r="I860" s="5"/>
    </row>
    <row r="861" spans="1:9" ht="15.75" customHeight="1" x14ac:dyDescent="0.2">
      <c r="A861" s="102"/>
      <c r="B861" s="102"/>
      <c r="C861" s="102"/>
      <c r="D861" s="103"/>
      <c r="E861" s="103"/>
      <c r="F861" s="103"/>
      <c r="G861" s="103"/>
      <c r="H861" s="103"/>
      <c r="I861" s="5"/>
    </row>
    <row r="862" spans="1:9" ht="15.75" customHeight="1" x14ac:dyDescent="0.2">
      <c r="A862" s="102"/>
      <c r="B862" s="102"/>
      <c r="C862" s="102"/>
      <c r="D862" s="103"/>
      <c r="E862" s="103"/>
      <c r="F862" s="103"/>
      <c r="G862" s="103"/>
      <c r="H862" s="103"/>
      <c r="I862" s="5"/>
    </row>
    <row r="863" spans="1:9" ht="15.75" customHeight="1" x14ac:dyDescent="0.2">
      <c r="A863" s="102"/>
      <c r="B863" s="102"/>
      <c r="C863" s="102"/>
      <c r="D863" s="103"/>
      <c r="E863" s="103"/>
      <c r="F863" s="103"/>
      <c r="G863" s="103"/>
      <c r="H863" s="103"/>
      <c r="I863" s="5"/>
    </row>
    <row r="864" spans="1:9" ht="15.75" customHeight="1" x14ac:dyDescent="0.2">
      <c r="A864" s="102"/>
      <c r="B864" s="102"/>
      <c r="C864" s="102"/>
      <c r="D864" s="103"/>
      <c r="E864" s="103"/>
      <c r="F864" s="103"/>
      <c r="G864" s="103"/>
      <c r="H864" s="103"/>
      <c r="I864" s="5"/>
    </row>
    <row r="865" spans="1:9" ht="15.75" customHeight="1" x14ac:dyDescent="0.2">
      <c r="A865" s="102"/>
      <c r="B865" s="102"/>
      <c r="C865" s="102"/>
      <c r="D865" s="103"/>
      <c r="E865" s="103"/>
      <c r="F865" s="103"/>
      <c r="G865" s="103"/>
      <c r="H865" s="103"/>
      <c r="I865" s="5"/>
    </row>
    <row r="866" spans="1:9" ht="15.75" customHeight="1" x14ac:dyDescent="0.2">
      <c r="A866" s="102"/>
      <c r="B866" s="102"/>
      <c r="C866" s="102"/>
      <c r="D866" s="103"/>
      <c r="E866" s="103"/>
      <c r="F866" s="103"/>
      <c r="G866" s="103"/>
      <c r="H866" s="103"/>
      <c r="I866" s="5"/>
    </row>
    <row r="867" spans="1:9" ht="15.75" customHeight="1" x14ac:dyDescent="0.2">
      <c r="A867" s="102"/>
      <c r="B867" s="102"/>
      <c r="C867" s="102"/>
      <c r="D867" s="103"/>
      <c r="E867" s="103"/>
      <c r="F867" s="103"/>
      <c r="G867" s="103"/>
      <c r="H867" s="103"/>
      <c r="I867" s="5"/>
    </row>
    <row r="868" spans="1:9" ht="15.75" customHeight="1" x14ac:dyDescent="0.2">
      <c r="A868" s="102"/>
      <c r="B868" s="102"/>
      <c r="C868" s="102"/>
      <c r="D868" s="103"/>
      <c r="E868" s="103"/>
      <c r="F868" s="103"/>
      <c r="G868" s="103"/>
      <c r="H868" s="103"/>
      <c r="I868" s="5"/>
    </row>
    <row r="869" spans="1:9" ht="15.75" customHeight="1" x14ac:dyDescent="0.2">
      <c r="A869" s="102"/>
      <c r="B869" s="102"/>
      <c r="C869" s="102"/>
      <c r="D869" s="103"/>
      <c r="E869" s="103"/>
      <c r="F869" s="103"/>
      <c r="G869" s="103"/>
      <c r="H869" s="103"/>
      <c r="I869" s="5"/>
    </row>
    <row r="870" spans="1:9" ht="15.75" customHeight="1" x14ac:dyDescent="0.2">
      <c r="A870" s="102"/>
      <c r="B870" s="102"/>
      <c r="C870" s="102"/>
      <c r="D870" s="103"/>
      <c r="E870" s="103"/>
      <c r="F870" s="103"/>
      <c r="G870" s="103"/>
      <c r="H870" s="103"/>
      <c r="I870" s="5"/>
    </row>
    <row r="871" spans="1:9" ht="15.75" customHeight="1" x14ac:dyDescent="0.2">
      <c r="A871" s="102"/>
      <c r="B871" s="102"/>
      <c r="C871" s="102"/>
      <c r="D871" s="103"/>
      <c r="E871" s="103"/>
      <c r="F871" s="103"/>
      <c r="G871" s="103"/>
      <c r="H871" s="103"/>
      <c r="I871" s="5"/>
    </row>
    <row r="872" spans="1:9" ht="15.75" customHeight="1" x14ac:dyDescent="0.2">
      <c r="A872" s="102"/>
      <c r="B872" s="102"/>
      <c r="C872" s="102"/>
      <c r="D872" s="103"/>
      <c r="E872" s="103"/>
      <c r="F872" s="103"/>
      <c r="G872" s="103"/>
      <c r="H872" s="103"/>
      <c r="I872" s="5"/>
    </row>
    <row r="873" spans="1:9" ht="15.75" customHeight="1" x14ac:dyDescent="0.2">
      <c r="A873" s="102"/>
      <c r="B873" s="102"/>
      <c r="C873" s="102"/>
      <c r="D873" s="103"/>
      <c r="E873" s="103"/>
      <c r="F873" s="103"/>
      <c r="G873" s="103"/>
      <c r="H873" s="103"/>
      <c r="I873" s="5"/>
    </row>
    <row r="874" spans="1:9" ht="15.75" customHeight="1" x14ac:dyDescent="0.2">
      <c r="A874" s="102"/>
      <c r="B874" s="102"/>
      <c r="C874" s="102"/>
      <c r="D874" s="103"/>
      <c r="E874" s="103"/>
      <c r="F874" s="103"/>
      <c r="G874" s="103"/>
      <c r="H874" s="103"/>
      <c r="I874" s="5"/>
    </row>
    <row r="875" spans="1:9" ht="15.75" customHeight="1" x14ac:dyDescent="0.2">
      <c r="A875" s="102"/>
      <c r="B875" s="102"/>
      <c r="C875" s="102"/>
      <c r="D875" s="103"/>
      <c r="E875" s="103"/>
      <c r="F875" s="103"/>
      <c r="G875" s="103"/>
      <c r="H875" s="103"/>
      <c r="I875" s="5"/>
    </row>
    <row r="876" spans="1:9" ht="15.75" customHeight="1" x14ac:dyDescent="0.2">
      <c r="A876" s="102"/>
      <c r="B876" s="102"/>
      <c r="C876" s="102"/>
      <c r="D876" s="103"/>
      <c r="E876" s="103"/>
      <c r="F876" s="103"/>
      <c r="G876" s="103"/>
      <c r="H876" s="103"/>
      <c r="I876" s="5"/>
    </row>
    <row r="877" spans="1:9" ht="15.75" customHeight="1" x14ac:dyDescent="0.2">
      <c r="A877" s="102"/>
      <c r="B877" s="102"/>
      <c r="C877" s="102"/>
      <c r="D877" s="103"/>
      <c r="E877" s="103"/>
      <c r="F877" s="103"/>
      <c r="G877" s="103"/>
      <c r="H877" s="103"/>
      <c r="I877" s="5"/>
    </row>
    <row r="878" spans="1:9" ht="15.75" customHeight="1" x14ac:dyDescent="0.2">
      <c r="A878" s="102"/>
      <c r="B878" s="102"/>
      <c r="C878" s="102"/>
      <c r="D878" s="103"/>
      <c r="E878" s="103"/>
      <c r="F878" s="103"/>
      <c r="G878" s="103"/>
      <c r="H878" s="103"/>
      <c r="I878" s="5"/>
    </row>
    <row r="879" spans="1:9" ht="15.75" customHeight="1" x14ac:dyDescent="0.2">
      <c r="A879" s="102"/>
      <c r="B879" s="102"/>
      <c r="C879" s="102"/>
      <c r="D879" s="103"/>
      <c r="E879" s="103"/>
      <c r="F879" s="103"/>
      <c r="G879" s="103"/>
      <c r="H879" s="103"/>
      <c r="I879" s="5"/>
    </row>
    <row r="880" spans="1:9" ht="15.75" customHeight="1" x14ac:dyDescent="0.2">
      <c r="A880" s="102"/>
      <c r="B880" s="102"/>
      <c r="C880" s="102"/>
      <c r="D880" s="103"/>
      <c r="E880" s="103"/>
      <c r="F880" s="103"/>
      <c r="G880" s="103"/>
      <c r="H880" s="103"/>
      <c r="I880" s="5"/>
    </row>
    <row r="881" spans="1:9" ht="15.75" customHeight="1" x14ac:dyDescent="0.2">
      <c r="A881" s="102"/>
      <c r="B881" s="102"/>
      <c r="C881" s="102"/>
      <c r="D881" s="103"/>
      <c r="E881" s="103"/>
      <c r="F881" s="103"/>
      <c r="G881" s="103"/>
      <c r="H881" s="103"/>
      <c r="I881" s="5"/>
    </row>
    <row r="882" spans="1:9" ht="15.75" customHeight="1" x14ac:dyDescent="0.2">
      <c r="A882" s="102"/>
      <c r="B882" s="102"/>
      <c r="C882" s="102"/>
      <c r="D882" s="103"/>
      <c r="E882" s="103"/>
      <c r="F882" s="103"/>
      <c r="G882" s="103"/>
      <c r="H882" s="103"/>
      <c r="I882" s="5"/>
    </row>
    <row r="883" spans="1:9" ht="15.75" customHeight="1" x14ac:dyDescent="0.2">
      <c r="A883" s="102"/>
      <c r="B883" s="102"/>
      <c r="C883" s="102"/>
      <c r="D883" s="103"/>
      <c r="E883" s="103"/>
      <c r="F883" s="103"/>
      <c r="G883" s="103"/>
      <c r="H883" s="103"/>
      <c r="I883" s="5"/>
    </row>
    <row r="884" spans="1:9" ht="15.75" customHeight="1" x14ac:dyDescent="0.2">
      <c r="A884" s="102"/>
      <c r="B884" s="102"/>
      <c r="C884" s="102"/>
      <c r="D884" s="103"/>
      <c r="E884" s="103"/>
      <c r="F884" s="103"/>
      <c r="G884" s="103"/>
      <c r="H884" s="103"/>
      <c r="I884" s="5"/>
    </row>
    <row r="885" spans="1:9" ht="15.75" customHeight="1" x14ac:dyDescent="0.2">
      <c r="A885" s="102"/>
      <c r="B885" s="102"/>
      <c r="C885" s="102"/>
      <c r="D885" s="103"/>
      <c r="E885" s="103"/>
      <c r="F885" s="103"/>
      <c r="G885" s="103"/>
      <c r="H885" s="103"/>
      <c r="I885" s="5"/>
    </row>
    <row r="886" spans="1:9" ht="15.75" customHeight="1" x14ac:dyDescent="0.2">
      <c r="A886" s="102"/>
      <c r="B886" s="102"/>
      <c r="C886" s="102"/>
      <c r="D886" s="103"/>
      <c r="E886" s="103"/>
      <c r="F886" s="103"/>
      <c r="G886" s="103"/>
      <c r="H886" s="103"/>
      <c r="I886" s="5"/>
    </row>
    <row r="887" spans="1:9" ht="15.75" customHeight="1" x14ac:dyDescent="0.2">
      <c r="A887" s="102"/>
      <c r="B887" s="102"/>
      <c r="C887" s="102"/>
      <c r="D887" s="103"/>
      <c r="E887" s="103"/>
      <c r="F887" s="103"/>
      <c r="G887" s="103"/>
      <c r="H887" s="103"/>
      <c r="I887" s="5"/>
    </row>
    <row r="888" spans="1:9" ht="15.75" customHeight="1" x14ac:dyDescent="0.2">
      <c r="A888" s="102"/>
      <c r="B888" s="102"/>
      <c r="C888" s="102"/>
      <c r="D888" s="103"/>
      <c r="E888" s="103"/>
      <c r="F888" s="103"/>
      <c r="G888" s="103"/>
      <c r="H888" s="103"/>
      <c r="I888" s="5"/>
    </row>
    <row r="889" spans="1:9" ht="15.75" customHeight="1" x14ac:dyDescent="0.2">
      <c r="A889" s="102"/>
      <c r="B889" s="102"/>
      <c r="C889" s="102"/>
      <c r="D889" s="103"/>
      <c r="E889" s="103"/>
      <c r="F889" s="103"/>
      <c r="G889" s="103"/>
      <c r="H889" s="103"/>
      <c r="I889" s="5"/>
    </row>
    <row r="890" spans="1:9" ht="15.75" customHeight="1" x14ac:dyDescent="0.2">
      <c r="A890" s="102"/>
      <c r="B890" s="102"/>
      <c r="C890" s="102"/>
      <c r="D890" s="103"/>
      <c r="E890" s="103"/>
      <c r="F890" s="103"/>
      <c r="G890" s="103"/>
      <c r="H890" s="103"/>
      <c r="I890" s="5"/>
    </row>
    <row r="891" spans="1:9" ht="15.75" customHeight="1" x14ac:dyDescent="0.2">
      <c r="A891" s="102"/>
      <c r="B891" s="102"/>
      <c r="C891" s="102"/>
      <c r="D891" s="103"/>
      <c r="E891" s="103"/>
      <c r="F891" s="103"/>
      <c r="G891" s="103"/>
      <c r="H891" s="103"/>
      <c r="I891" s="5"/>
    </row>
    <row r="892" spans="1:9" ht="15.75" customHeight="1" x14ac:dyDescent="0.2">
      <c r="A892" s="102"/>
      <c r="B892" s="102"/>
      <c r="C892" s="102"/>
      <c r="D892" s="103"/>
      <c r="E892" s="103"/>
      <c r="F892" s="103"/>
      <c r="G892" s="103"/>
      <c r="H892" s="103"/>
      <c r="I892" s="5"/>
    </row>
    <row r="893" spans="1:9" ht="15.75" customHeight="1" x14ac:dyDescent="0.2">
      <c r="A893" s="102"/>
      <c r="B893" s="102"/>
      <c r="C893" s="102"/>
      <c r="D893" s="103"/>
      <c r="E893" s="103"/>
      <c r="F893" s="103"/>
      <c r="G893" s="103"/>
      <c r="H893" s="103"/>
      <c r="I893" s="5"/>
    </row>
    <row r="894" spans="1:9" ht="15.75" customHeight="1" x14ac:dyDescent="0.2">
      <c r="A894" s="102"/>
      <c r="B894" s="102"/>
      <c r="C894" s="102"/>
      <c r="D894" s="103"/>
      <c r="E894" s="103"/>
      <c r="F894" s="103"/>
      <c r="G894" s="103"/>
      <c r="H894" s="103"/>
      <c r="I894" s="5"/>
    </row>
    <row r="895" spans="1:9" ht="15.75" customHeight="1" x14ac:dyDescent="0.2">
      <c r="A895" s="102"/>
      <c r="B895" s="102"/>
      <c r="C895" s="102"/>
      <c r="D895" s="103"/>
      <c r="E895" s="103"/>
      <c r="F895" s="103"/>
      <c r="G895" s="103"/>
      <c r="H895" s="103"/>
      <c r="I895" s="5"/>
    </row>
    <row r="896" spans="1:9" ht="15.75" customHeight="1" x14ac:dyDescent="0.2">
      <c r="A896" s="102"/>
      <c r="B896" s="102"/>
      <c r="C896" s="102"/>
      <c r="D896" s="103"/>
      <c r="E896" s="103"/>
      <c r="F896" s="103"/>
      <c r="G896" s="103"/>
      <c r="H896" s="103"/>
      <c r="I896" s="5"/>
    </row>
    <row r="897" spans="1:9" ht="15.75" customHeight="1" x14ac:dyDescent="0.2">
      <c r="A897" s="102"/>
      <c r="B897" s="102"/>
      <c r="C897" s="102"/>
      <c r="D897" s="103"/>
      <c r="E897" s="103"/>
      <c r="F897" s="103"/>
      <c r="G897" s="103"/>
      <c r="H897" s="103"/>
      <c r="I897" s="5"/>
    </row>
    <row r="898" spans="1:9" ht="15.75" customHeight="1" x14ac:dyDescent="0.2">
      <c r="A898" s="102"/>
      <c r="B898" s="102"/>
      <c r="C898" s="102"/>
      <c r="D898" s="103"/>
      <c r="E898" s="103"/>
      <c r="F898" s="103"/>
      <c r="G898" s="103"/>
      <c r="H898" s="103"/>
      <c r="I898" s="5"/>
    </row>
    <row r="899" spans="1:9" ht="15.75" customHeight="1" x14ac:dyDescent="0.2">
      <c r="A899" s="102"/>
      <c r="B899" s="102"/>
      <c r="C899" s="102"/>
      <c r="D899" s="103"/>
      <c r="E899" s="103"/>
      <c r="F899" s="103"/>
      <c r="G899" s="103"/>
      <c r="H899" s="103"/>
      <c r="I899" s="5"/>
    </row>
    <row r="900" spans="1:9" ht="15.75" customHeight="1" x14ac:dyDescent="0.2">
      <c r="A900" s="102"/>
      <c r="B900" s="102"/>
      <c r="C900" s="102"/>
      <c r="D900" s="103"/>
      <c r="E900" s="103"/>
      <c r="F900" s="103"/>
      <c r="G900" s="103"/>
      <c r="H900" s="103"/>
      <c r="I900" s="5"/>
    </row>
    <row r="901" spans="1:9" ht="15.75" customHeight="1" x14ac:dyDescent="0.2">
      <c r="A901" s="102"/>
      <c r="B901" s="102"/>
      <c r="C901" s="102"/>
      <c r="D901" s="103"/>
      <c r="E901" s="103"/>
      <c r="F901" s="103"/>
      <c r="G901" s="103"/>
      <c r="H901" s="103"/>
      <c r="I901" s="5"/>
    </row>
    <row r="902" spans="1:9" ht="15.75" customHeight="1" x14ac:dyDescent="0.2">
      <c r="A902" s="102"/>
      <c r="B902" s="102"/>
      <c r="C902" s="102"/>
      <c r="D902" s="103"/>
      <c r="E902" s="103"/>
      <c r="F902" s="103"/>
      <c r="G902" s="103"/>
      <c r="H902" s="103"/>
      <c r="I902" s="5"/>
    </row>
    <row r="903" spans="1:9" ht="15.75" customHeight="1" x14ac:dyDescent="0.2">
      <c r="A903" s="102"/>
      <c r="B903" s="102"/>
      <c r="C903" s="102"/>
      <c r="D903" s="103"/>
      <c r="E903" s="103"/>
      <c r="F903" s="103"/>
      <c r="G903" s="103"/>
      <c r="H903" s="103"/>
      <c r="I903" s="5"/>
    </row>
    <row r="904" spans="1:9" ht="15.75" customHeight="1" x14ac:dyDescent="0.2">
      <c r="A904" s="102"/>
      <c r="B904" s="102"/>
      <c r="C904" s="102"/>
      <c r="D904" s="103"/>
      <c r="E904" s="103"/>
      <c r="F904" s="103"/>
      <c r="G904" s="103"/>
      <c r="H904" s="103"/>
      <c r="I904" s="5"/>
    </row>
    <row r="905" spans="1:9" ht="15.75" customHeight="1" x14ac:dyDescent="0.2">
      <c r="A905" s="102"/>
      <c r="B905" s="102"/>
      <c r="C905" s="102"/>
      <c r="D905" s="103"/>
      <c r="E905" s="103"/>
      <c r="F905" s="103"/>
      <c r="G905" s="103"/>
      <c r="H905" s="103"/>
      <c r="I905" s="5"/>
    </row>
    <row r="906" spans="1:9" ht="15.75" customHeight="1" x14ac:dyDescent="0.2">
      <c r="A906" s="102"/>
      <c r="B906" s="102"/>
      <c r="C906" s="102"/>
      <c r="D906" s="103"/>
      <c r="E906" s="103"/>
      <c r="F906" s="103"/>
      <c r="G906" s="103"/>
      <c r="H906" s="103"/>
      <c r="I906" s="5"/>
    </row>
    <row r="907" spans="1:9" ht="15.75" customHeight="1" x14ac:dyDescent="0.2">
      <c r="A907" s="102"/>
      <c r="B907" s="102"/>
      <c r="C907" s="102"/>
      <c r="D907" s="103"/>
      <c r="E907" s="103"/>
      <c r="F907" s="103"/>
      <c r="G907" s="103"/>
      <c r="H907" s="103"/>
      <c r="I907" s="5"/>
    </row>
    <row r="908" spans="1:9" ht="15.75" customHeight="1" x14ac:dyDescent="0.2">
      <c r="A908" s="102"/>
      <c r="B908" s="102"/>
      <c r="C908" s="102"/>
      <c r="D908" s="103"/>
      <c r="E908" s="103"/>
      <c r="F908" s="103"/>
      <c r="G908" s="103"/>
      <c r="H908" s="103"/>
      <c r="I908" s="5"/>
    </row>
    <row r="909" spans="1:9" ht="15.75" customHeight="1" x14ac:dyDescent="0.2">
      <c r="A909" s="102"/>
      <c r="B909" s="102"/>
      <c r="C909" s="102"/>
      <c r="D909" s="103"/>
      <c r="E909" s="103"/>
      <c r="F909" s="103"/>
      <c r="G909" s="103"/>
      <c r="H909" s="103"/>
      <c r="I909" s="5"/>
    </row>
    <row r="910" spans="1:9" ht="15.75" customHeight="1" x14ac:dyDescent="0.2">
      <c r="A910" s="102"/>
      <c r="B910" s="102"/>
      <c r="C910" s="102"/>
      <c r="D910" s="103"/>
      <c r="E910" s="103"/>
      <c r="F910" s="103"/>
      <c r="G910" s="103"/>
      <c r="H910" s="103"/>
      <c r="I910" s="5"/>
    </row>
    <row r="911" spans="1:9" ht="15.75" customHeight="1" x14ac:dyDescent="0.2">
      <c r="A911" s="102"/>
      <c r="B911" s="102"/>
      <c r="C911" s="102"/>
      <c r="D911" s="103"/>
      <c r="E911" s="103"/>
      <c r="F911" s="103"/>
      <c r="G911" s="103"/>
      <c r="H911" s="103"/>
      <c r="I911" s="5"/>
    </row>
    <row r="912" spans="1:9" ht="15.75" customHeight="1" x14ac:dyDescent="0.2">
      <c r="A912" s="102"/>
      <c r="B912" s="102"/>
      <c r="C912" s="102"/>
      <c r="D912" s="103"/>
      <c r="E912" s="103"/>
      <c r="F912" s="103"/>
      <c r="G912" s="103"/>
      <c r="H912" s="103"/>
      <c r="I912" s="5"/>
    </row>
    <row r="913" spans="1:9" ht="15.75" customHeight="1" x14ac:dyDescent="0.2">
      <c r="A913" s="102"/>
      <c r="B913" s="102"/>
      <c r="C913" s="102"/>
      <c r="D913" s="103"/>
      <c r="E913" s="103"/>
      <c r="F913" s="103"/>
      <c r="G913" s="103"/>
      <c r="H913" s="103"/>
      <c r="I913" s="5"/>
    </row>
    <row r="914" spans="1:9" ht="15.75" customHeight="1" x14ac:dyDescent="0.2">
      <c r="A914" s="102"/>
      <c r="B914" s="102"/>
      <c r="C914" s="102"/>
      <c r="D914" s="103"/>
      <c r="E914" s="103"/>
      <c r="F914" s="103"/>
      <c r="G914" s="103"/>
      <c r="H914" s="103"/>
      <c r="I914" s="5"/>
    </row>
    <row r="915" spans="1:9" ht="15.75" customHeight="1" x14ac:dyDescent="0.2">
      <c r="A915" s="102"/>
      <c r="B915" s="102"/>
      <c r="C915" s="102"/>
      <c r="D915" s="103"/>
      <c r="E915" s="103"/>
      <c r="F915" s="103"/>
      <c r="G915" s="103"/>
      <c r="H915" s="103"/>
      <c r="I915" s="5"/>
    </row>
    <row r="916" spans="1:9" ht="15.75" customHeight="1" x14ac:dyDescent="0.2">
      <c r="A916" s="102"/>
      <c r="B916" s="102"/>
      <c r="C916" s="102"/>
      <c r="D916" s="103"/>
      <c r="E916" s="103"/>
      <c r="F916" s="103"/>
      <c r="G916" s="103"/>
      <c r="H916" s="103"/>
      <c r="I916" s="5"/>
    </row>
    <row r="917" spans="1:9" ht="15.75" customHeight="1" x14ac:dyDescent="0.2">
      <c r="A917" s="102"/>
      <c r="B917" s="102"/>
      <c r="C917" s="102"/>
      <c r="D917" s="103"/>
      <c r="E917" s="103"/>
      <c r="F917" s="103"/>
      <c r="G917" s="103"/>
      <c r="H917" s="103"/>
      <c r="I917" s="5"/>
    </row>
    <row r="918" spans="1:9" ht="15.75" customHeight="1" x14ac:dyDescent="0.2">
      <c r="A918" s="102"/>
      <c r="B918" s="102"/>
      <c r="C918" s="102"/>
      <c r="D918" s="103"/>
      <c r="E918" s="103"/>
      <c r="F918" s="103"/>
      <c r="G918" s="103"/>
      <c r="H918" s="103"/>
      <c r="I918" s="5"/>
    </row>
    <row r="919" spans="1:9" ht="15.75" customHeight="1" x14ac:dyDescent="0.2">
      <c r="A919" s="102"/>
      <c r="B919" s="102"/>
      <c r="C919" s="102"/>
      <c r="D919" s="103"/>
      <c r="E919" s="103"/>
      <c r="F919" s="103"/>
      <c r="G919" s="103"/>
      <c r="H919" s="103"/>
      <c r="I919" s="5"/>
    </row>
    <row r="920" spans="1:9" ht="15.75" customHeight="1" x14ac:dyDescent="0.2">
      <c r="A920" s="102"/>
      <c r="B920" s="102"/>
      <c r="C920" s="102"/>
      <c r="D920" s="103"/>
      <c r="E920" s="103"/>
      <c r="F920" s="103"/>
      <c r="G920" s="103"/>
      <c r="H920" s="103"/>
      <c r="I920" s="5"/>
    </row>
    <row r="921" spans="1:9" ht="15.75" customHeight="1" x14ac:dyDescent="0.2">
      <c r="A921" s="102"/>
      <c r="B921" s="102"/>
      <c r="C921" s="102"/>
      <c r="D921" s="103"/>
      <c r="E921" s="103"/>
      <c r="F921" s="103"/>
      <c r="G921" s="103"/>
      <c r="H921" s="103"/>
      <c r="I921" s="5"/>
    </row>
    <row r="922" spans="1:9" ht="15.75" customHeight="1" x14ac:dyDescent="0.2">
      <c r="A922" s="102"/>
      <c r="B922" s="102"/>
      <c r="C922" s="102"/>
      <c r="D922" s="103"/>
      <c r="E922" s="103"/>
      <c r="F922" s="103"/>
      <c r="G922" s="103"/>
      <c r="H922" s="103"/>
      <c r="I922" s="5"/>
    </row>
    <row r="923" spans="1:9" ht="15.75" customHeight="1" x14ac:dyDescent="0.2">
      <c r="A923" s="102"/>
      <c r="B923" s="102"/>
      <c r="C923" s="102"/>
      <c r="D923" s="103"/>
      <c r="E923" s="103"/>
      <c r="F923" s="103"/>
      <c r="G923" s="103"/>
      <c r="H923" s="103"/>
      <c r="I923" s="5"/>
    </row>
    <row r="924" spans="1:9" ht="15.75" customHeight="1" x14ac:dyDescent="0.2">
      <c r="A924" s="102"/>
      <c r="B924" s="102"/>
      <c r="C924" s="102"/>
      <c r="D924" s="103"/>
      <c r="E924" s="103"/>
      <c r="F924" s="103"/>
      <c r="G924" s="103"/>
      <c r="H924" s="103"/>
      <c r="I924" s="5"/>
    </row>
    <row r="925" spans="1:9" ht="15.75" customHeight="1" x14ac:dyDescent="0.2">
      <c r="A925" s="102"/>
      <c r="B925" s="102"/>
      <c r="C925" s="102"/>
      <c r="D925" s="103"/>
      <c r="E925" s="103"/>
      <c r="F925" s="103"/>
      <c r="G925" s="103"/>
      <c r="H925" s="103"/>
      <c r="I925" s="5"/>
    </row>
    <row r="926" spans="1:9" ht="15.75" customHeight="1" x14ac:dyDescent="0.2">
      <c r="A926" s="102"/>
      <c r="B926" s="102"/>
      <c r="C926" s="102"/>
      <c r="D926" s="103"/>
      <c r="E926" s="103"/>
      <c r="F926" s="103"/>
      <c r="G926" s="103"/>
      <c r="H926" s="103"/>
      <c r="I926" s="5"/>
    </row>
    <row r="927" spans="1:9" ht="15.75" customHeight="1" x14ac:dyDescent="0.2">
      <c r="A927" s="102"/>
      <c r="B927" s="102"/>
      <c r="C927" s="102"/>
      <c r="D927" s="103"/>
      <c r="E927" s="103"/>
      <c r="F927" s="103"/>
      <c r="G927" s="103"/>
      <c r="H927" s="103"/>
      <c r="I927" s="5"/>
    </row>
    <row r="928" spans="1:9" ht="15.75" customHeight="1" x14ac:dyDescent="0.2">
      <c r="A928" s="102"/>
      <c r="B928" s="102"/>
      <c r="C928" s="102"/>
      <c r="D928" s="103"/>
      <c r="E928" s="103"/>
      <c r="F928" s="103"/>
      <c r="G928" s="103"/>
      <c r="H928" s="103"/>
      <c r="I928" s="5"/>
    </row>
    <row r="929" spans="1:9" ht="15.75" customHeight="1" x14ac:dyDescent="0.2">
      <c r="A929" s="102"/>
      <c r="B929" s="102"/>
      <c r="C929" s="102"/>
      <c r="D929" s="103"/>
      <c r="E929" s="103"/>
      <c r="F929" s="103"/>
      <c r="G929" s="103"/>
      <c r="H929" s="103"/>
      <c r="I929" s="5"/>
    </row>
    <row r="930" spans="1:9" ht="15.75" customHeight="1" x14ac:dyDescent="0.2">
      <c r="A930" s="102"/>
      <c r="B930" s="102"/>
      <c r="C930" s="102"/>
      <c r="D930" s="103"/>
      <c r="E930" s="103"/>
      <c r="F930" s="103"/>
      <c r="G930" s="103"/>
      <c r="H930" s="103"/>
      <c r="I930" s="5"/>
    </row>
    <row r="931" spans="1:9" ht="15.75" customHeight="1" x14ac:dyDescent="0.2">
      <c r="A931" s="102"/>
      <c r="B931" s="102"/>
      <c r="C931" s="102"/>
      <c r="D931" s="103"/>
      <c r="E931" s="103"/>
      <c r="F931" s="103"/>
      <c r="G931" s="103"/>
      <c r="H931" s="103"/>
      <c r="I931" s="5"/>
    </row>
    <row r="932" spans="1:9" ht="15.75" customHeight="1" x14ac:dyDescent="0.2">
      <c r="A932" s="102"/>
      <c r="B932" s="102"/>
      <c r="C932" s="102"/>
      <c r="D932" s="103"/>
      <c r="E932" s="103"/>
      <c r="F932" s="103"/>
      <c r="G932" s="103"/>
      <c r="H932" s="103"/>
      <c r="I932" s="5"/>
    </row>
    <row r="933" spans="1:9" ht="15.75" customHeight="1" x14ac:dyDescent="0.2">
      <c r="A933" s="102"/>
      <c r="B933" s="102"/>
      <c r="C933" s="102"/>
      <c r="D933" s="103"/>
      <c r="E933" s="103"/>
      <c r="F933" s="103"/>
      <c r="G933" s="103"/>
      <c r="H933" s="103"/>
      <c r="I933" s="5"/>
    </row>
    <row r="934" spans="1:9" ht="15.75" customHeight="1" x14ac:dyDescent="0.2">
      <c r="A934" s="102"/>
      <c r="B934" s="102"/>
      <c r="C934" s="102"/>
      <c r="D934" s="103"/>
      <c r="E934" s="103"/>
      <c r="F934" s="103"/>
      <c r="G934" s="103"/>
      <c r="H934" s="103"/>
      <c r="I934" s="5"/>
    </row>
    <row r="935" spans="1:9" ht="15.75" customHeight="1" x14ac:dyDescent="0.2">
      <c r="A935" s="102"/>
      <c r="B935" s="102"/>
      <c r="C935" s="102"/>
      <c r="D935" s="103"/>
      <c r="E935" s="103"/>
      <c r="F935" s="103"/>
      <c r="G935" s="103"/>
      <c r="H935" s="103"/>
      <c r="I935" s="5"/>
    </row>
    <row r="936" spans="1:9" ht="15.75" customHeight="1" x14ac:dyDescent="0.2">
      <c r="A936" s="102"/>
      <c r="B936" s="102"/>
      <c r="C936" s="102"/>
      <c r="D936" s="103"/>
      <c r="E936" s="103"/>
      <c r="F936" s="103"/>
      <c r="G936" s="103"/>
      <c r="H936" s="103"/>
      <c r="I936" s="5"/>
    </row>
    <row r="937" spans="1:9" ht="15.75" customHeight="1" x14ac:dyDescent="0.2">
      <c r="A937" s="102"/>
      <c r="B937" s="102"/>
      <c r="C937" s="102"/>
      <c r="D937" s="103"/>
      <c r="E937" s="103"/>
      <c r="F937" s="103"/>
      <c r="G937" s="103"/>
      <c r="H937" s="103"/>
      <c r="I937" s="5"/>
    </row>
    <row r="938" spans="1:9" ht="15.75" customHeight="1" x14ac:dyDescent="0.2">
      <c r="A938" s="102"/>
      <c r="B938" s="102"/>
      <c r="C938" s="102"/>
      <c r="D938" s="103"/>
      <c r="E938" s="103"/>
      <c r="F938" s="103"/>
      <c r="G938" s="103"/>
      <c r="H938" s="103"/>
      <c r="I938" s="5"/>
    </row>
    <row r="939" spans="1:9" ht="15.75" customHeight="1" x14ac:dyDescent="0.2">
      <c r="A939" s="102"/>
      <c r="B939" s="102"/>
      <c r="C939" s="102"/>
      <c r="D939" s="103"/>
      <c r="E939" s="103"/>
      <c r="F939" s="103"/>
      <c r="G939" s="103"/>
      <c r="H939" s="103"/>
      <c r="I939" s="5"/>
    </row>
    <row r="940" spans="1:9" ht="15.75" customHeight="1" x14ac:dyDescent="0.2">
      <c r="A940" s="102"/>
      <c r="B940" s="102"/>
      <c r="C940" s="102"/>
      <c r="D940" s="103"/>
      <c r="E940" s="103"/>
      <c r="F940" s="103"/>
      <c r="G940" s="103"/>
      <c r="H940" s="103"/>
      <c r="I940" s="5"/>
    </row>
    <row r="941" spans="1:9" ht="15.75" customHeight="1" x14ac:dyDescent="0.2">
      <c r="A941" s="102"/>
      <c r="B941" s="102"/>
      <c r="C941" s="102"/>
      <c r="D941" s="103"/>
      <c r="E941" s="103"/>
      <c r="F941" s="103"/>
      <c r="G941" s="103"/>
      <c r="H941" s="103"/>
      <c r="I941" s="5"/>
    </row>
    <row r="942" spans="1:9" ht="15.75" customHeight="1" x14ac:dyDescent="0.2">
      <c r="A942" s="102"/>
      <c r="B942" s="102"/>
      <c r="C942" s="102"/>
      <c r="D942" s="103"/>
      <c r="E942" s="103"/>
      <c r="F942" s="103"/>
      <c r="G942" s="103"/>
      <c r="H942" s="103"/>
      <c r="I942" s="5"/>
    </row>
    <row r="943" spans="1:9" ht="15.75" customHeight="1" x14ac:dyDescent="0.2">
      <c r="A943" s="102"/>
      <c r="B943" s="102"/>
      <c r="C943" s="102"/>
      <c r="D943" s="103"/>
      <c r="E943" s="103"/>
      <c r="F943" s="103"/>
      <c r="G943" s="103"/>
      <c r="H943" s="103"/>
      <c r="I943" s="5"/>
    </row>
    <row r="944" spans="1:9" ht="15.75" customHeight="1" x14ac:dyDescent="0.2">
      <c r="A944" s="102"/>
      <c r="B944" s="102"/>
      <c r="C944" s="102"/>
      <c r="D944" s="103"/>
      <c r="E944" s="103"/>
      <c r="F944" s="103"/>
      <c r="G944" s="103"/>
      <c r="H944" s="103"/>
      <c r="I944" s="5"/>
    </row>
    <row r="945" spans="1:9" ht="15.75" customHeight="1" x14ac:dyDescent="0.2">
      <c r="A945" s="102"/>
      <c r="B945" s="102"/>
      <c r="C945" s="102"/>
      <c r="D945" s="103"/>
      <c r="E945" s="103"/>
      <c r="F945" s="103"/>
      <c r="G945" s="103"/>
      <c r="H945" s="103"/>
      <c r="I945" s="5"/>
    </row>
    <row r="946" spans="1:9" ht="15.75" customHeight="1" x14ac:dyDescent="0.2">
      <c r="A946" s="102"/>
      <c r="B946" s="102"/>
      <c r="C946" s="102"/>
      <c r="D946" s="103"/>
      <c r="E946" s="103"/>
      <c r="F946" s="103"/>
      <c r="G946" s="103"/>
      <c r="H946" s="103"/>
      <c r="I946" s="5"/>
    </row>
    <row r="947" spans="1:9" ht="15.75" customHeight="1" x14ac:dyDescent="0.2">
      <c r="A947" s="102"/>
      <c r="B947" s="102"/>
      <c r="C947" s="102"/>
      <c r="D947" s="103"/>
      <c r="E947" s="103"/>
      <c r="F947" s="103"/>
      <c r="G947" s="103"/>
      <c r="H947" s="103"/>
      <c r="I947" s="5"/>
    </row>
    <row r="948" spans="1:9" ht="15.75" customHeight="1" x14ac:dyDescent="0.2">
      <c r="A948" s="102"/>
      <c r="B948" s="102"/>
      <c r="C948" s="102"/>
      <c r="D948" s="103"/>
      <c r="E948" s="103"/>
      <c r="F948" s="103"/>
      <c r="G948" s="103"/>
      <c r="H948" s="103"/>
      <c r="I948" s="5"/>
    </row>
    <row r="949" spans="1:9" ht="15.75" customHeight="1" x14ac:dyDescent="0.2">
      <c r="A949" s="102"/>
      <c r="B949" s="102"/>
      <c r="C949" s="102"/>
      <c r="D949" s="103"/>
      <c r="E949" s="103"/>
      <c r="F949" s="103"/>
      <c r="G949" s="103"/>
      <c r="H949" s="103"/>
      <c r="I949" s="5"/>
    </row>
    <row r="950" spans="1:9" ht="15.75" customHeight="1" x14ac:dyDescent="0.2">
      <c r="A950" s="102"/>
      <c r="B950" s="102"/>
      <c r="C950" s="102"/>
      <c r="D950" s="103"/>
      <c r="E950" s="103"/>
      <c r="F950" s="103"/>
      <c r="G950" s="103"/>
      <c r="H950" s="103"/>
      <c r="I950" s="5"/>
    </row>
    <row r="951" spans="1:9" ht="15.75" customHeight="1" x14ac:dyDescent="0.2">
      <c r="A951" s="102"/>
      <c r="B951" s="102"/>
      <c r="C951" s="102"/>
      <c r="D951" s="103"/>
      <c r="E951" s="103"/>
      <c r="F951" s="103"/>
      <c r="G951" s="103"/>
      <c r="H951" s="103"/>
      <c r="I951" s="5"/>
    </row>
    <row r="952" spans="1:9" ht="15.75" customHeight="1" x14ac:dyDescent="0.2">
      <c r="A952" s="102"/>
      <c r="B952" s="102"/>
      <c r="C952" s="102"/>
      <c r="D952" s="103"/>
      <c r="E952" s="103"/>
      <c r="F952" s="103"/>
      <c r="G952" s="103"/>
      <c r="H952" s="103"/>
      <c r="I952" s="5"/>
    </row>
    <row r="953" spans="1:9" ht="15.75" customHeight="1" x14ac:dyDescent="0.2">
      <c r="A953" s="102"/>
      <c r="B953" s="102"/>
      <c r="C953" s="102"/>
      <c r="D953" s="103"/>
      <c r="E953" s="103"/>
      <c r="F953" s="103"/>
      <c r="G953" s="103"/>
      <c r="H953" s="103"/>
      <c r="I953" s="5"/>
    </row>
    <row r="954" spans="1:9" ht="15.75" customHeight="1" x14ac:dyDescent="0.2">
      <c r="A954" s="102"/>
      <c r="B954" s="102"/>
      <c r="C954" s="102"/>
      <c r="D954" s="103"/>
      <c r="E954" s="103"/>
      <c r="F954" s="103"/>
      <c r="G954" s="103"/>
      <c r="H954" s="103"/>
      <c r="I954" s="5"/>
    </row>
    <row r="955" spans="1:9" ht="15.75" customHeight="1" x14ac:dyDescent="0.2">
      <c r="A955" s="102"/>
      <c r="B955" s="102"/>
      <c r="C955" s="102"/>
      <c r="D955" s="103"/>
      <c r="E955" s="103"/>
      <c r="F955" s="103"/>
      <c r="G955" s="103"/>
      <c r="H955" s="103"/>
      <c r="I955" s="5"/>
    </row>
    <row r="956" spans="1:9" ht="15.75" customHeight="1" x14ac:dyDescent="0.2">
      <c r="A956" s="102"/>
      <c r="B956" s="102"/>
      <c r="C956" s="102"/>
      <c r="D956" s="103"/>
      <c r="E956" s="103"/>
      <c r="F956" s="103"/>
      <c r="G956" s="103"/>
      <c r="H956" s="103"/>
      <c r="I956" s="5"/>
    </row>
    <row r="957" spans="1:9" ht="15.75" customHeight="1" x14ac:dyDescent="0.2">
      <c r="A957" s="102"/>
      <c r="B957" s="102"/>
      <c r="C957" s="102"/>
      <c r="D957" s="103"/>
      <c r="E957" s="103"/>
      <c r="F957" s="103"/>
      <c r="G957" s="103"/>
      <c r="H957" s="103"/>
      <c r="I957" s="5"/>
    </row>
    <row r="958" spans="1:9" ht="15.75" customHeight="1" x14ac:dyDescent="0.2">
      <c r="A958" s="102"/>
      <c r="B958" s="102"/>
      <c r="C958" s="102"/>
      <c r="D958" s="103"/>
      <c r="E958" s="103"/>
      <c r="F958" s="103"/>
      <c r="G958" s="103"/>
      <c r="H958" s="103"/>
      <c r="I958" s="5"/>
    </row>
    <row r="959" spans="1:9" ht="15.75" customHeight="1" x14ac:dyDescent="0.2">
      <c r="A959" s="102"/>
      <c r="B959" s="102"/>
      <c r="C959" s="102"/>
      <c r="D959" s="103"/>
      <c r="E959" s="103"/>
      <c r="F959" s="103"/>
      <c r="G959" s="103"/>
      <c r="H959" s="103"/>
      <c r="I959" s="5"/>
    </row>
    <row r="960" spans="1:9" ht="15.75" customHeight="1" x14ac:dyDescent="0.2">
      <c r="A960" s="102"/>
      <c r="B960" s="102"/>
      <c r="C960" s="102"/>
      <c r="D960" s="103"/>
      <c r="E960" s="103"/>
      <c r="F960" s="103"/>
      <c r="G960" s="103"/>
      <c r="H960" s="103"/>
      <c r="I960" s="5"/>
    </row>
    <row r="961" spans="1:9" ht="15.75" customHeight="1" x14ac:dyDescent="0.2">
      <c r="A961" s="102"/>
      <c r="B961" s="102"/>
      <c r="C961" s="102"/>
      <c r="D961" s="103"/>
      <c r="E961" s="103"/>
      <c r="F961" s="103"/>
      <c r="G961" s="103"/>
      <c r="H961" s="103"/>
      <c r="I961" s="5"/>
    </row>
    <row r="962" spans="1:9" ht="15.75" customHeight="1" x14ac:dyDescent="0.2">
      <c r="A962" s="102"/>
      <c r="B962" s="102"/>
      <c r="C962" s="102"/>
      <c r="D962" s="103"/>
      <c r="E962" s="103"/>
      <c r="F962" s="103"/>
      <c r="G962" s="103"/>
      <c r="H962" s="103"/>
      <c r="I962" s="5"/>
    </row>
    <row r="963" spans="1:9" ht="15.75" customHeight="1" x14ac:dyDescent="0.2">
      <c r="A963" s="102"/>
      <c r="B963" s="102"/>
      <c r="C963" s="102"/>
      <c r="D963" s="103"/>
      <c r="E963" s="103"/>
      <c r="F963" s="103"/>
      <c r="G963" s="103"/>
      <c r="H963" s="103"/>
      <c r="I963" s="5"/>
    </row>
    <row r="964" spans="1:9" ht="15.75" customHeight="1" x14ac:dyDescent="0.2">
      <c r="A964" s="102"/>
      <c r="B964" s="102"/>
      <c r="C964" s="102"/>
      <c r="D964" s="103"/>
      <c r="E964" s="103"/>
      <c r="F964" s="103"/>
      <c r="G964" s="103"/>
      <c r="H964" s="103"/>
      <c r="I964" s="5"/>
    </row>
    <row r="965" spans="1:9" ht="15.75" customHeight="1" x14ac:dyDescent="0.2">
      <c r="A965" s="102"/>
      <c r="B965" s="102"/>
      <c r="C965" s="102"/>
      <c r="D965" s="103"/>
      <c r="E965" s="103"/>
      <c r="F965" s="103"/>
      <c r="G965" s="103"/>
      <c r="H965" s="103"/>
      <c r="I965" s="5"/>
    </row>
    <row r="966" spans="1:9" ht="15.75" customHeight="1" x14ac:dyDescent="0.2">
      <c r="A966" s="102"/>
      <c r="B966" s="102"/>
      <c r="C966" s="102"/>
      <c r="D966" s="103"/>
      <c r="E966" s="103"/>
      <c r="F966" s="103"/>
      <c r="G966" s="103"/>
      <c r="H966" s="103"/>
      <c r="I966" s="5"/>
    </row>
    <row r="967" spans="1:9" ht="15.75" customHeight="1" x14ac:dyDescent="0.2">
      <c r="A967" s="102"/>
      <c r="B967" s="102"/>
      <c r="C967" s="102"/>
      <c r="D967" s="103"/>
      <c r="E967" s="103"/>
      <c r="F967" s="103"/>
      <c r="G967" s="103"/>
      <c r="H967" s="103"/>
      <c r="I967" s="5"/>
    </row>
    <row r="968" spans="1:9" ht="15.75" customHeight="1" x14ac:dyDescent="0.2">
      <c r="A968" s="102"/>
      <c r="B968" s="102"/>
      <c r="C968" s="102"/>
      <c r="D968" s="103"/>
      <c r="E968" s="103"/>
      <c r="F968" s="103"/>
      <c r="G968" s="103"/>
      <c r="H968" s="103"/>
      <c r="I968" s="5"/>
    </row>
    <row r="969" spans="1:9" ht="15.75" customHeight="1" x14ac:dyDescent="0.2">
      <c r="A969" s="102"/>
      <c r="B969" s="102"/>
      <c r="C969" s="102"/>
      <c r="D969" s="103"/>
      <c r="E969" s="103"/>
      <c r="F969" s="103"/>
      <c r="G969" s="103"/>
      <c r="H969" s="103"/>
      <c r="I969" s="5"/>
    </row>
    <row r="970" spans="1:9" ht="15.75" customHeight="1" x14ac:dyDescent="0.2">
      <c r="A970" s="102"/>
      <c r="B970" s="102"/>
      <c r="C970" s="102"/>
      <c r="D970" s="103"/>
      <c r="E970" s="103"/>
      <c r="F970" s="103"/>
      <c r="G970" s="103"/>
      <c r="H970" s="103"/>
      <c r="I970" s="5"/>
    </row>
    <row r="971" spans="1:9" ht="15.75" customHeight="1" x14ac:dyDescent="0.2">
      <c r="A971" s="102"/>
      <c r="B971" s="102"/>
      <c r="C971" s="102"/>
      <c r="D971" s="103"/>
      <c r="E971" s="103"/>
      <c r="F971" s="103"/>
      <c r="G971" s="103"/>
      <c r="H971" s="103"/>
      <c r="I971" s="5"/>
    </row>
    <row r="972" spans="1:9" ht="15.75" customHeight="1" x14ac:dyDescent="0.2">
      <c r="A972" s="102"/>
      <c r="B972" s="102"/>
      <c r="C972" s="102"/>
      <c r="D972" s="103"/>
      <c r="E972" s="103"/>
      <c r="F972" s="103"/>
      <c r="G972" s="103"/>
      <c r="H972" s="103"/>
      <c r="I972" s="5"/>
    </row>
    <row r="973" spans="1:9" ht="15.75" customHeight="1" x14ac:dyDescent="0.2">
      <c r="A973" s="102"/>
      <c r="B973" s="102"/>
      <c r="C973" s="102"/>
      <c r="D973" s="103"/>
      <c r="E973" s="103"/>
      <c r="F973" s="103"/>
      <c r="G973" s="103"/>
      <c r="H973" s="103"/>
      <c r="I973" s="5"/>
    </row>
    <row r="974" spans="1:9" ht="15.75" customHeight="1" x14ac:dyDescent="0.2">
      <c r="A974" s="102"/>
      <c r="B974" s="102"/>
      <c r="C974" s="102"/>
      <c r="D974" s="103"/>
      <c r="E974" s="103"/>
      <c r="F974" s="103"/>
      <c r="G974" s="103"/>
      <c r="H974" s="103"/>
      <c r="I974" s="5"/>
    </row>
    <row r="975" spans="1:9" ht="15.75" customHeight="1" x14ac:dyDescent="0.2">
      <c r="A975" s="102"/>
      <c r="B975" s="102"/>
      <c r="C975" s="102"/>
      <c r="D975" s="103"/>
      <c r="E975" s="103"/>
      <c r="F975" s="103"/>
      <c r="G975" s="103"/>
      <c r="H975" s="103"/>
      <c r="I975" s="5"/>
    </row>
    <row r="976" spans="1:9" ht="15.75" customHeight="1" x14ac:dyDescent="0.2">
      <c r="A976" s="102"/>
      <c r="B976" s="102"/>
      <c r="C976" s="102"/>
      <c r="D976" s="103"/>
      <c r="E976" s="103"/>
      <c r="F976" s="103"/>
      <c r="G976" s="103"/>
      <c r="H976" s="103"/>
      <c r="I976" s="5"/>
    </row>
    <row r="977" spans="1:9" ht="15.75" customHeight="1" x14ac:dyDescent="0.2">
      <c r="A977" s="102"/>
      <c r="B977" s="102"/>
      <c r="C977" s="102"/>
      <c r="D977" s="103"/>
      <c r="E977" s="103"/>
      <c r="F977" s="103"/>
      <c r="G977" s="103"/>
      <c r="H977" s="103"/>
      <c r="I977" s="5"/>
    </row>
    <row r="978" spans="1:9" ht="15.75" customHeight="1" x14ac:dyDescent="0.2">
      <c r="A978" s="102"/>
      <c r="B978" s="102"/>
      <c r="C978" s="102"/>
      <c r="D978" s="103"/>
      <c r="E978" s="103"/>
      <c r="F978" s="103"/>
      <c r="G978" s="103"/>
      <c r="H978" s="103"/>
      <c r="I978" s="5"/>
    </row>
    <row r="979" spans="1:9" ht="15.75" customHeight="1" x14ac:dyDescent="0.2">
      <c r="A979" s="102"/>
      <c r="B979" s="102"/>
      <c r="C979" s="102"/>
      <c r="D979" s="103"/>
      <c r="E979" s="103"/>
      <c r="F979" s="103"/>
      <c r="G979" s="103"/>
      <c r="H979" s="103"/>
      <c r="I979" s="5"/>
    </row>
    <row r="980" spans="1:9" ht="15.75" customHeight="1" x14ac:dyDescent="0.2">
      <c r="A980" s="102"/>
      <c r="B980" s="102"/>
      <c r="C980" s="102"/>
      <c r="D980" s="103"/>
      <c r="E980" s="103"/>
      <c r="F980" s="103"/>
      <c r="G980" s="103"/>
      <c r="H980" s="103"/>
      <c r="I980" s="5"/>
    </row>
    <row r="981" spans="1:9" ht="15.75" customHeight="1" x14ac:dyDescent="0.2">
      <c r="A981" s="102"/>
      <c r="B981" s="102"/>
      <c r="C981" s="102"/>
      <c r="D981" s="103"/>
      <c r="E981" s="103"/>
      <c r="F981" s="103"/>
      <c r="G981" s="103"/>
      <c r="H981" s="103"/>
      <c r="I981" s="5"/>
    </row>
    <row r="982" spans="1:9" ht="15.75" customHeight="1" x14ac:dyDescent="0.2">
      <c r="A982" s="102"/>
      <c r="B982" s="102"/>
      <c r="C982" s="102"/>
      <c r="D982" s="103"/>
      <c r="E982" s="103"/>
      <c r="F982" s="103"/>
      <c r="G982" s="103"/>
      <c r="H982" s="103"/>
      <c r="I982" s="5"/>
    </row>
    <row r="983" spans="1:9" ht="15.75" customHeight="1" x14ac:dyDescent="0.2">
      <c r="A983" s="102"/>
      <c r="B983" s="102"/>
      <c r="C983" s="102"/>
      <c r="D983" s="103"/>
      <c r="E983" s="103"/>
      <c r="F983" s="103"/>
      <c r="G983" s="103"/>
      <c r="H983" s="103"/>
      <c r="I983" s="5"/>
    </row>
    <row r="984" spans="1:9" ht="15.75" customHeight="1" x14ac:dyDescent="0.2">
      <c r="A984" s="102"/>
      <c r="B984" s="102"/>
      <c r="C984" s="102"/>
      <c r="D984" s="103"/>
      <c r="E984" s="103"/>
      <c r="F984" s="103"/>
      <c r="G984" s="103"/>
      <c r="H984" s="103"/>
      <c r="I984" s="5"/>
    </row>
    <row r="985" spans="1:9" ht="15.75" customHeight="1" x14ac:dyDescent="0.2">
      <c r="A985" s="102"/>
      <c r="B985" s="102"/>
      <c r="C985" s="102"/>
      <c r="D985" s="103"/>
      <c r="E985" s="103"/>
      <c r="F985" s="103"/>
      <c r="G985" s="103"/>
      <c r="H985" s="103"/>
      <c r="I985" s="5"/>
    </row>
    <row r="986" spans="1:9" ht="15.75" customHeight="1" x14ac:dyDescent="0.2">
      <c r="A986" s="102"/>
      <c r="B986" s="102"/>
      <c r="C986" s="102"/>
      <c r="D986" s="103"/>
      <c r="E986" s="103"/>
      <c r="F986" s="103"/>
      <c r="G986" s="103"/>
      <c r="H986" s="103"/>
      <c r="I986" s="5"/>
    </row>
    <row r="987" spans="1:9" ht="15.75" customHeight="1" x14ac:dyDescent="0.2">
      <c r="A987" s="102"/>
      <c r="B987" s="102"/>
      <c r="C987" s="102"/>
      <c r="D987" s="103"/>
      <c r="E987" s="103"/>
      <c r="F987" s="103"/>
      <c r="G987" s="103"/>
      <c r="H987" s="103"/>
      <c r="I987" s="5"/>
    </row>
    <row r="988" spans="1:9" ht="15.75" customHeight="1" x14ac:dyDescent="0.2">
      <c r="A988" s="102"/>
      <c r="B988" s="102"/>
      <c r="C988" s="102"/>
      <c r="D988" s="103"/>
      <c r="E988" s="103"/>
      <c r="F988" s="103"/>
      <c r="G988" s="103"/>
      <c r="H988" s="103"/>
      <c r="I988" s="5"/>
    </row>
    <row r="989" spans="1:9" ht="15.75" customHeight="1" x14ac:dyDescent="0.2">
      <c r="A989" s="102"/>
      <c r="B989" s="102"/>
      <c r="C989" s="102"/>
      <c r="D989" s="103"/>
      <c r="E989" s="103"/>
      <c r="F989" s="103"/>
      <c r="G989" s="103"/>
      <c r="H989" s="103"/>
      <c r="I989" s="5"/>
    </row>
    <row r="990" spans="1:9" ht="15.75" customHeight="1" x14ac:dyDescent="0.2">
      <c r="A990" s="102"/>
      <c r="B990" s="102"/>
      <c r="C990" s="102"/>
      <c r="D990" s="103"/>
      <c r="E990" s="103"/>
      <c r="F990" s="103"/>
      <c r="G990" s="103"/>
      <c r="H990" s="103"/>
      <c r="I990" s="5"/>
    </row>
    <row r="991" spans="1:9" ht="15.75" customHeight="1" x14ac:dyDescent="0.2">
      <c r="A991" s="102"/>
      <c r="B991" s="102"/>
      <c r="C991" s="102"/>
      <c r="D991" s="103"/>
      <c r="E991" s="103"/>
      <c r="F991" s="103"/>
      <c r="G991" s="103"/>
      <c r="H991" s="103"/>
      <c r="I991" s="5"/>
    </row>
    <row r="992" spans="1:9" ht="15.75" customHeight="1" x14ac:dyDescent="0.2">
      <c r="A992" s="102"/>
      <c r="B992" s="102"/>
      <c r="C992" s="102"/>
      <c r="D992" s="103"/>
      <c r="E992" s="103"/>
      <c r="F992" s="103"/>
      <c r="G992" s="103"/>
      <c r="H992" s="103"/>
      <c r="I992" s="5"/>
    </row>
    <row r="993" spans="1:9" ht="15.75" customHeight="1" x14ac:dyDescent="0.2">
      <c r="A993" s="102"/>
      <c r="B993" s="102"/>
      <c r="C993" s="102"/>
      <c r="D993" s="103"/>
      <c r="E993" s="103"/>
      <c r="F993" s="103"/>
      <c r="G993" s="103"/>
      <c r="H993" s="103"/>
      <c r="I993" s="5"/>
    </row>
    <row r="994" spans="1:9" ht="15.75" customHeight="1" x14ac:dyDescent="0.2">
      <c r="A994" s="102"/>
      <c r="B994" s="102"/>
      <c r="C994" s="102"/>
      <c r="D994" s="103"/>
      <c r="E994" s="103"/>
      <c r="F994" s="103"/>
      <c r="G994" s="103"/>
      <c r="H994" s="103"/>
      <c r="I994" s="5"/>
    </row>
    <row r="995" spans="1:9" ht="15.75" customHeight="1" x14ac:dyDescent="0.2">
      <c r="A995" s="102"/>
      <c r="B995" s="102"/>
      <c r="C995" s="102"/>
      <c r="D995" s="103"/>
      <c r="E995" s="103"/>
      <c r="F995" s="103"/>
      <c r="G995" s="103"/>
      <c r="H995" s="103"/>
      <c r="I995" s="5"/>
    </row>
    <row r="996" spans="1:9" ht="15.75" customHeight="1" x14ac:dyDescent="0.2">
      <c r="A996" s="102"/>
      <c r="B996" s="102"/>
      <c r="C996" s="102"/>
      <c r="D996" s="103"/>
      <c r="E996" s="103"/>
      <c r="F996" s="103"/>
      <c r="G996" s="103"/>
      <c r="H996" s="103"/>
      <c r="I996" s="5"/>
    </row>
    <row r="997" spans="1:9" ht="15.75" customHeight="1" x14ac:dyDescent="0.2">
      <c r="A997" s="102"/>
      <c r="B997" s="102"/>
      <c r="C997" s="102"/>
      <c r="D997" s="103"/>
      <c r="E997" s="103"/>
      <c r="F997" s="103"/>
      <c r="G997" s="103"/>
      <c r="H997" s="103"/>
      <c r="I997" s="5"/>
    </row>
    <row r="998" spans="1:9" ht="15.75" customHeight="1" x14ac:dyDescent="0.2">
      <c r="A998" s="102"/>
      <c r="B998" s="102"/>
      <c r="C998" s="102"/>
      <c r="D998" s="103"/>
      <c r="E998" s="103"/>
      <c r="F998" s="103"/>
      <c r="G998" s="103"/>
      <c r="H998" s="103"/>
      <c r="I998" s="5"/>
    </row>
    <row r="999" spans="1:9" ht="15.75" customHeight="1" x14ac:dyDescent="0.2">
      <c r="A999" s="102"/>
      <c r="B999" s="102"/>
      <c r="C999" s="102"/>
      <c r="D999" s="103"/>
      <c r="E999" s="103"/>
      <c r="F999" s="103"/>
      <c r="G999" s="103"/>
      <c r="H999" s="103"/>
      <c r="I999" s="5"/>
    </row>
    <row r="1000" spans="1:9" ht="15.75" customHeight="1" x14ac:dyDescent="0.2">
      <c r="A1000" s="102"/>
      <c r="B1000" s="102"/>
      <c r="C1000" s="102"/>
      <c r="D1000" s="103"/>
      <c r="E1000" s="103"/>
      <c r="F1000" s="103"/>
      <c r="G1000" s="103"/>
      <c r="H1000" s="103"/>
      <c r="I1000" s="5"/>
    </row>
    <row r="1001" spans="1:9" ht="15.75" customHeight="1" x14ac:dyDescent="0.2">
      <c r="A1001" s="102"/>
      <c r="B1001" s="102"/>
      <c r="C1001" s="102"/>
      <c r="D1001" s="103"/>
      <c r="E1001" s="103"/>
      <c r="F1001" s="103"/>
      <c r="G1001" s="103"/>
      <c r="H1001" s="103"/>
      <c r="I1001" s="5"/>
    </row>
    <row r="1002" spans="1:9" ht="15.75" customHeight="1" x14ac:dyDescent="0.2">
      <c r="A1002" s="102"/>
      <c r="B1002" s="102"/>
      <c r="C1002" s="102"/>
      <c r="D1002" s="103"/>
      <c r="E1002" s="103"/>
      <c r="F1002" s="103"/>
      <c r="G1002" s="103"/>
      <c r="H1002" s="103"/>
      <c r="I1002" s="5"/>
    </row>
    <row r="1003" spans="1:9" ht="15.75" customHeight="1" x14ac:dyDescent="0.2">
      <c r="A1003" s="102"/>
      <c r="B1003" s="102"/>
      <c r="C1003" s="102"/>
      <c r="D1003" s="103"/>
      <c r="E1003" s="103"/>
      <c r="F1003" s="103"/>
      <c r="G1003" s="103"/>
      <c r="H1003" s="103"/>
      <c r="I1003" s="5"/>
    </row>
    <row r="1004" spans="1:9" ht="15.75" customHeight="1" x14ac:dyDescent="0.2">
      <c r="A1004" s="102"/>
      <c r="B1004" s="102"/>
      <c r="C1004" s="102"/>
      <c r="D1004" s="103"/>
      <c r="E1004" s="103"/>
      <c r="F1004" s="103"/>
      <c r="G1004" s="103"/>
      <c r="H1004" s="103"/>
      <c r="I1004" s="5"/>
    </row>
    <row r="1005" spans="1:9" ht="15.75" customHeight="1" x14ac:dyDescent="0.2">
      <c r="A1005" s="102"/>
      <c r="B1005" s="102"/>
      <c r="C1005" s="102"/>
      <c r="D1005" s="103"/>
      <c r="E1005" s="103"/>
      <c r="F1005" s="103"/>
      <c r="G1005" s="103"/>
      <c r="H1005" s="103"/>
      <c r="I1005" s="5"/>
    </row>
    <row r="1006" spans="1:9" ht="15.75" customHeight="1" x14ac:dyDescent="0.2">
      <c r="A1006" s="102"/>
      <c r="B1006" s="102"/>
      <c r="C1006" s="102"/>
      <c r="D1006" s="103"/>
      <c r="E1006" s="103"/>
      <c r="F1006" s="103"/>
      <c r="G1006" s="103"/>
      <c r="H1006" s="103"/>
      <c r="I1006" s="5"/>
    </row>
    <row r="1007" spans="1:9" ht="15.75" customHeight="1" x14ac:dyDescent="0.2">
      <c r="A1007" s="102"/>
      <c r="B1007" s="102"/>
      <c r="C1007" s="102"/>
      <c r="D1007" s="103"/>
      <c r="E1007" s="103"/>
      <c r="F1007" s="103"/>
      <c r="G1007" s="103"/>
      <c r="H1007" s="103"/>
      <c r="I1007" s="5"/>
    </row>
    <row r="1008" spans="1:9" ht="15.75" customHeight="1" x14ac:dyDescent="0.2">
      <c r="A1008" s="102"/>
      <c r="B1008" s="102"/>
      <c r="C1008" s="102"/>
      <c r="D1008" s="103"/>
      <c r="E1008" s="103"/>
      <c r="F1008" s="103"/>
      <c r="G1008" s="103"/>
      <c r="H1008" s="103"/>
      <c r="I1008" s="5"/>
    </row>
    <row r="1009" spans="1:9" ht="15.75" customHeight="1" x14ac:dyDescent="0.2">
      <c r="A1009" s="102"/>
      <c r="B1009" s="102"/>
      <c r="C1009" s="102"/>
      <c r="D1009" s="102"/>
      <c r="E1009" s="102"/>
      <c r="F1009" s="102"/>
      <c r="G1009" s="102"/>
      <c r="H1009" s="102"/>
      <c r="I1009" s="5"/>
    </row>
    <row r="1010" spans="1:9" ht="15.75" customHeight="1" x14ac:dyDescent="0.2">
      <c r="A1010" s="102"/>
      <c r="B1010" s="102"/>
      <c r="C1010" s="102"/>
      <c r="D1010" s="102"/>
      <c r="E1010" s="102"/>
      <c r="F1010" s="102"/>
      <c r="G1010" s="102"/>
      <c r="H1010" s="102"/>
      <c r="I1010" s="5"/>
    </row>
    <row r="1011" spans="1:9" ht="15.75" customHeight="1" x14ac:dyDescent="0.2">
      <c r="A1011" s="102"/>
      <c r="B1011" s="102"/>
      <c r="C1011" s="102"/>
      <c r="D1011" s="102"/>
      <c r="E1011" s="102"/>
      <c r="F1011" s="102"/>
      <c r="G1011" s="102"/>
      <c r="H1011" s="102"/>
      <c r="I1011" s="5"/>
    </row>
    <row r="1012" spans="1:9" ht="15.75" customHeight="1" x14ac:dyDescent="0.2">
      <c r="A1012" s="102"/>
      <c r="B1012" s="102"/>
      <c r="C1012" s="102"/>
      <c r="D1012" s="102"/>
      <c r="E1012" s="102"/>
      <c r="F1012" s="102"/>
      <c r="G1012" s="102"/>
      <c r="H1012" s="102"/>
      <c r="I1012" s="5"/>
    </row>
    <row r="1013" spans="1:9" ht="15.75" customHeight="1" x14ac:dyDescent="0.2">
      <c r="D1013" s="4"/>
      <c r="E1013" s="4"/>
      <c r="F1013" s="4"/>
      <c r="G1013" s="4"/>
      <c r="H1013" s="4"/>
      <c r="I1013" s="5"/>
    </row>
    <row r="1014" spans="1:9" ht="15.75" customHeight="1" x14ac:dyDescent="0.2">
      <c r="D1014" s="4"/>
      <c r="E1014" s="4"/>
      <c r="F1014" s="4"/>
      <c r="G1014" s="4"/>
      <c r="H1014" s="4"/>
      <c r="I1014" s="5"/>
    </row>
    <row r="1015" spans="1:9" ht="15.75" customHeight="1" x14ac:dyDescent="0.2">
      <c r="D1015" s="4"/>
      <c r="E1015" s="4"/>
      <c r="F1015" s="4"/>
      <c r="G1015" s="4"/>
      <c r="H1015" s="4"/>
      <c r="I1015" s="5"/>
    </row>
  </sheetData>
  <autoFilter ref="A4:I65" xr:uid="{00000000-0001-0000-0000-000000000000}"/>
  <mergeCells count="16">
    <mergeCell ref="A35:A38"/>
    <mergeCell ref="A39:A42"/>
    <mergeCell ref="A44:C44"/>
    <mergeCell ref="B67:D67"/>
    <mergeCell ref="A113:C113"/>
    <mergeCell ref="A18:A20"/>
    <mergeCell ref="A21:A23"/>
    <mergeCell ref="A24:A26"/>
    <mergeCell ref="A27:A30"/>
    <mergeCell ref="A31:A34"/>
    <mergeCell ref="A14:A17"/>
    <mergeCell ref="A1:H1"/>
    <mergeCell ref="A3:C3"/>
    <mergeCell ref="A5:A7"/>
    <mergeCell ref="A8:A10"/>
    <mergeCell ref="A11:A1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BJ833"/>
  <sheetViews>
    <sheetView showGridLines="0" topLeftCell="AY88" workbookViewId="0">
      <selection activeCell="BG8" sqref="BG8"/>
    </sheetView>
  </sheetViews>
  <sheetFormatPr baseColWidth="10" defaultColWidth="12.625" defaultRowHeight="15" customHeight="1" x14ac:dyDescent="0.2"/>
  <cols>
    <col min="1" max="1" width="4.5" customWidth="1"/>
    <col min="2" max="5" width="17.625" customWidth="1"/>
    <col min="6" max="9" width="19.25" customWidth="1"/>
    <col min="10" max="59" width="17.625" customWidth="1"/>
  </cols>
  <sheetData>
    <row r="1" spans="1:62" ht="63" customHeight="1" x14ac:dyDescent="0.2">
      <c r="A1" s="249" t="s">
        <v>0</v>
      </c>
      <c r="B1" s="250"/>
      <c r="C1" s="250"/>
      <c r="D1" s="250"/>
      <c r="E1" s="250"/>
      <c r="F1" s="250"/>
      <c r="G1" s="250"/>
      <c r="H1" s="250"/>
      <c r="I1" s="250"/>
      <c r="J1" s="250"/>
      <c r="K1" s="250"/>
      <c r="L1" s="250"/>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row>
    <row r="2" spans="1:62" ht="21.75" customHeight="1" x14ac:dyDescent="0.2">
      <c r="A2" s="16"/>
      <c r="B2" s="16"/>
      <c r="C2" s="16"/>
      <c r="D2" s="16"/>
      <c r="E2" s="16"/>
      <c r="F2" s="16"/>
      <c r="G2" s="16"/>
      <c r="H2" s="16"/>
      <c r="I2" s="16"/>
      <c r="J2" s="16"/>
      <c r="K2" s="1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row>
    <row r="3" spans="1:62" ht="27.75" customHeight="1" x14ac:dyDescent="0.2">
      <c r="A3" s="17" t="s">
        <v>109</v>
      </c>
      <c r="B3" s="18"/>
      <c r="C3" s="100"/>
      <c r="D3" s="18"/>
      <c r="E3" s="18"/>
      <c r="F3" s="18"/>
      <c r="G3" s="18"/>
      <c r="H3" s="18"/>
      <c r="I3" s="18"/>
      <c r="J3" s="251" t="s">
        <v>110</v>
      </c>
      <c r="K3" s="252"/>
      <c r="L3" s="19">
        <f>COUNTA(E7:E136)</f>
        <v>130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row>
    <row r="4" spans="1:62" ht="14.25"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row>
    <row r="5" spans="1:62" ht="15" customHeight="1" x14ac:dyDescent="0.2">
      <c r="A5" s="6"/>
      <c r="B5" s="6"/>
      <c r="C5" s="6"/>
      <c r="D5" s="6"/>
      <c r="E5" s="6"/>
      <c r="F5" s="6"/>
      <c r="G5" s="6"/>
      <c r="H5" s="6"/>
      <c r="I5" s="6"/>
      <c r="J5" s="20" t="s">
        <v>111</v>
      </c>
      <c r="K5" s="20" t="s">
        <v>112</v>
      </c>
      <c r="L5" s="20" t="s">
        <v>113</v>
      </c>
      <c r="M5" s="20" t="s">
        <v>114</v>
      </c>
      <c r="N5" s="20" t="s">
        <v>115</v>
      </c>
      <c r="O5" s="20" t="s">
        <v>116</v>
      </c>
      <c r="P5" s="20" t="s">
        <v>117</v>
      </c>
      <c r="Q5" s="20" t="s">
        <v>118</v>
      </c>
      <c r="R5" s="20" t="s">
        <v>119</v>
      </c>
      <c r="S5" s="20" t="s">
        <v>120</v>
      </c>
      <c r="T5" s="20" t="s">
        <v>121</v>
      </c>
      <c r="U5" s="20" t="s">
        <v>122</v>
      </c>
      <c r="V5" s="20" t="s">
        <v>123</v>
      </c>
      <c r="W5" s="20" t="s">
        <v>124</v>
      </c>
      <c r="X5" s="20" t="s">
        <v>125</v>
      </c>
      <c r="Y5" s="20" t="s">
        <v>126</v>
      </c>
      <c r="Z5" s="20" t="s">
        <v>127</v>
      </c>
      <c r="AA5" s="20" t="s">
        <v>128</v>
      </c>
      <c r="AB5" s="20" t="s">
        <v>129</v>
      </c>
      <c r="AC5" s="20" t="s">
        <v>130</v>
      </c>
      <c r="AD5" s="20" t="s">
        <v>131</v>
      </c>
      <c r="AE5" s="20" t="s">
        <v>132</v>
      </c>
      <c r="AF5" s="20" t="s">
        <v>133</v>
      </c>
      <c r="AG5" s="20" t="s">
        <v>134</v>
      </c>
      <c r="AH5" s="20" t="s">
        <v>135</v>
      </c>
      <c r="AI5" s="20" t="s">
        <v>136</v>
      </c>
      <c r="AJ5" s="20" t="s">
        <v>137</v>
      </c>
      <c r="AK5" s="20" t="s">
        <v>138</v>
      </c>
      <c r="AL5" s="20" t="s">
        <v>139</v>
      </c>
      <c r="AM5" s="20" t="s">
        <v>140</v>
      </c>
      <c r="AN5" s="20" t="s">
        <v>141</v>
      </c>
      <c r="AO5" s="20" t="s">
        <v>142</v>
      </c>
      <c r="AP5" s="20" t="s">
        <v>143</v>
      </c>
      <c r="AQ5" s="20" t="s">
        <v>144</v>
      </c>
      <c r="AR5" s="20" t="s">
        <v>145</v>
      </c>
      <c r="AS5" s="20" t="s">
        <v>146</v>
      </c>
      <c r="AT5" s="20" t="s">
        <v>147</v>
      </c>
      <c r="AU5" s="20" t="s">
        <v>148</v>
      </c>
      <c r="AV5" s="20" t="s">
        <v>149</v>
      </c>
      <c r="AW5" s="20" t="s">
        <v>150</v>
      </c>
      <c r="AX5" s="20" t="s">
        <v>151</v>
      </c>
      <c r="AY5" s="20" t="s">
        <v>152</v>
      </c>
      <c r="AZ5" s="20" t="s">
        <v>153</v>
      </c>
      <c r="BA5" s="20" t="s">
        <v>154</v>
      </c>
      <c r="BB5" s="20" t="s">
        <v>155</v>
      </c>
      <c r="BC5" s="20" t="s">
        <v>156</v>
      </c>
      <c r="BD5" s="20" t="s">
        <v>157</v>
      </c>
      <c r="BE5" s="20" t="s">
        <v>158</v>
      </c>
      <c r="BF5" s="20" t="s">
        <v>159</v>
      </c>
      <c r="BG5" s="20" t="s">
        <v>160</v>
      </c>
    </row>
    <row r="6" spans="1:62" ht="90" customHeight="1" x14ac:dyDescent="0.2">
      <c r="A6" s="21" t="s">
        <v>161</v>
      </c>
      <c r="B6" s="21" t="s">
        <v>162</v>
      </c>
      <c r="C6" s="21" t="s">
        <v>787</v>
      </c>
      <c r="D6" s="21" t="s">
        <v>163</v>
      </c>
      <c r="E6" s="21" t="s">
        <v>164</v>
      </c>
      <c r="F6" s="21" t="s">
        <v>165</v>
      </c>
      <c r="G6" s="21" t="s">
        <v>166</v>
      </c>
      <c r="H6" s="21" t="s">
        <v>167</v>
      </c>
      <c r="I6" s="21" t="s">
        <v>168</v>
      </c>
      <c r="J6" s="22" t="s">
        <v>330</v>
      </c>
      <c r="K6" s="23" t="s">
        <v>331</v>
      </c>
      <c r="L6" s="22" t="s">
        <v>332</v>
      </c>
      <c r="M6" s="22" t="s">
        <v>14</v>
      </c>
      <c r="N6" s="22" t="s">
        <v>15</v>
      </c>
      <c r="O6" s="22" t="s">
        <v>333</v>
      </c>
      <c r="P6" s="22" t="s">
        <v>334</v>
      </c>
      <c r="Q6" s="22" t="s">
        <v>335</v>
      </c>
      <c r="R6" s="22" t="s">
        <v>336</v>
      </c>
      <c r="S6" s="22" t="s">
        <v>315</v>
      </c>
      <c r="T6" s="22" t="s">
        <v>18</v>
      </c>
      <c r="U6" s="22" t="s">
        <v>337</v>
      </c>
      <c r="V6" s="22" t="s">
        <v>338</v>
      </c>
      <c r="W6" s="22" t="s">
        <v>22</v>
      </c>
      <c r="X6" s="22" t="s">
        <v>23</v>
      </c>
      <c r="Y6" s="22" t="s">
        <v>24</v>
      </c>
      <c r="Z6" s="22" t="s">
        <v>339</v>
      </c>
      <c r="AA6" s="22" t="s">
        <v>340</v>
      </c>
      <c r="AB6" s="22" t="s">
        <v>26</v>
      </c>
      <c r="AC6" s="22" t="s">
        <v>341</v>
      </c>
      <c r="AD6" s="22" t="s">
        <v>29</v>
      </c>
      <c r="AE6" s="22" t="s">
        <v>342</v>
      </c>
      <c r="AF6" s="22" t="s">
        <v>32</v>
      </c>
      <c r="AG6" s="22" t="s">
        <v>33</v>
      </c>
      <c r="AH6" s="22" t="s">
        <v>34</v>
      </c>
      <c r="AI6" s="22" t="s">
        <v>35</v>
      </c>
      <c r="AJ6" s="22" t="s">
        <v>37</v>
      </c>
      <c r="AK6" s="22" t="s">
        <v>38</v>
      </c>
      <c r="AL6" s="22" t="s">
        <v>343</v>
      </c>
      <c r="AM6" s="22" t="s">
        <v>344</v>
      </c>
      <c r="AN6" s="22" t="s">
        <v>42</v>
      </c>
      <c r="AO6" s="22" t="s">
        <v>43</v>
      </c>
      <c r="AP6" s="22" t="s">
        <v>345</v>
      </c>
      <c r="AQ6" s="22" t="s">
        <v>45</v>
      </c>
      <c r="AR6" s="22" t="s">
        <v>47</v>
      </c>
      <c r="AS6" s="22" t="s">
        <v>48</v>
      </c>
      <c r="AT6" s="22" t="s">
        <v>49</v>
      </c>
      <c r="AU6" s="22" t="s">
        <v>346</v>
      </c>
      <c r="AV6" s="24" t="s">
        <v>53</v>
      </c>
      <c r="AW6" s="24" t="s">
        <v>169</v>
      </c>
      <c r="AX6" s="24" t="s">
        <v>170</v>
      </c>
      <c r="AY6" s="24" t="s">
        <v>171</v>
      </c>
      <c r="AZ6" s="24" t="s">
        <v>65</v>
      </c>
      <c r="BA6" s="24" t="s">
        <v>172</v>
      </c>
      <c r="BB6" s="25" t="s">
        <v>173</v>
      </c>
      <c r="BC6" s="25" t="s">
        <v>174</v>
      </c>
      <c r="BD6" s="25" t="s">
        <v>175</v>
      </c>
      <c r="BE6" s="26" t="s">
        <v>105</v>
      </c>
      <c r="BF6" s="26" t="s">
        <v>107</v>
      </c>
      <c r="BG6" s="26" t="s">
        <v>108</v>
      </c>
      <c r="BH6" s="11"/>
    </row>
    <row r="7" spans="1:62" ht="15" customHeight="1" x14ac:dyDescent="0.2">
      <c r="A7" s="27">
        <v>1</v>
      </c>
      <c r="B7" s="28">
        <v>45740.557261944443</v>
      </c>
      <c r="C7" s="28" t="s">
        <v>788</v>
      </c>
      <c r="D7" s="27" t="s">
        <v>184</v>
      </c>
      <c r="E7" s="27" t="s">
        <v>185</v>
      </c>
      <c r="F7" s="27" t="s">
        <v>200</v>
      </c>
      <c r="G7" s="27" t="s">
        <v>179</v>
      </c>
      <c r="H7" s="27" t="s">
        <v>187</v>
      </c>
      <c r="I7" s="27" t="s">
        <v>198</v>
      </c>
      <c r="J7" s="27" t="s">
        <v>7</v>
      </c>
      <c r="K7" s="27" t="s">
        <v>7</v>
      </c>
      <c r="L7" s="27" t="s">
        <v>9</v>
      </c>
      <c r="M7" s="27" t="s">
        <v>7</v>
      </c>
      <c r="N7" s="27" t="s">
        <v>7</v>
      </c>
      <c r="O7" s="27" t="s">
        <v>7</v>
      </c>
      <c r="P7" s="27" t="s">
        <v>6</v>
      </c>
      <c r="Q7" s="27" t="s">
        <v>8</v>
      </c>
      <c r="R7" s="27" t="s">
        <v>7</v>
      </c>
      <c r="S7" s="27" t="s">
        <v>7</v>
      </c>
      <c r="T7" s="27" t="s">
        <v>8</v>
      </c>
      <c r="U7" s="27" t="s">
        <v>8</v>
      </c>
      <c r="V7" s="27" t="s">
        <v>7</v>
      </c>
      <c r="W7" s="27" t="s">
        <v>7</v>
      </c>
      <c r="X7" s="27" t="s">
        <v>6</v>
      </c>
      <c r="Y7" s="27" t="s">
        <v>7</v>
      </c>
      <c r="Z7" s="27" t="s">
        <v>7</v>
      </c>
      <c r="AA7" s="27" t="s">
        <v>7</v>
      </c>
      <c r="AB7" s="27" t="s">
        <v>7</v>
      </c>
      <c r="AC7" s="27" t="s">
        <v>7</v>
      </c>
      <c r="AD7" s="27" t="s">
        <v>8</v>
      </c>
      <c r="AE7" s="27" t="s">
        <v>8</v>
      </c>
      <c r="AF7" s="27" t="s">
        <v>7</v>
      </c>
      <c r="AG7" s="27" t="s">
        <v>6</v>
      </c>
      <c r="AH7" s="27" t="s">
        <v>5</v>
      </c>
      <c r="AI7" s="27" t="s">
        <v>5</v>
      </c>
      <c r="AJ7" s="27" t="s">
        <v>7</v>
      </c>
      <c r="AK7" s="27" t="s">
        <v>8</v>
      </c>
      <c r="AL7" s="27" t="s">
        <v>6</v>
      </c>
      <c r="AM7" s="27" t="s">
        <v>7</v>
      </c>
      <c r="AN7" s="27" t="s">
        <v>7</v>
      </c>
      <c r="AO7" s="27" t="s">
        <v>5</v>
      </c>
      <c r="AP7" s="27" t="s">
        <v>8</v>
      </c>
      <c r="AQ7" s="27" t="s">
        <v>5</v>
      </c>
      <c r="AR7" s="27" t="s">
        <v>8</v>
      </c>
      <c r="AS7" s="27" t="s">
        <v>7</v>
      </c>
      <c r="AT7" s="27" t="s">
        <v>7</v>
      </c>
      <c r="AU7" s="27" t="s">
        <v>8</v>
      </c>
      <c r="AV7" s="27">
        <v>6</v>
      </c>
      <c r="AW7" s="27">
        <v>6</v>
      </c>
      <c r="AX7" s="27">
        <v>6</v>
      </c>
      <c r="AY7" s="27">
        <v>6</v>
      </c>
      <c r="AZ7" s="27">
        <v>4</v>
      </c>
      <c r="BA7" s="27">
        <v>7</v>
      </c>
      <c r="BB7" s="27" t="s">
        <v>189</v>
      </c>
      <c r="BC7" s="27" t="s">
        <v>248</v>
      </c>
      <c r="BD7" s="27" t="s">
        <v>183</v>
      </c>
      <c r="BE7" s="27" t="s">
        <v>228</v>
      </c>
      <c r="BF7" s="27" t="s">
        <v>443</v>
      </c>
      <c r="BG7" s="27" t="s">
        <v>444</v>
      </c>
      <c r="BH7" s="11"/>
      <c r="BI7" s="11"/>
      <c r="BJ7" s="11"/>
    </row>
    <row r="8" spans="1:62" ht="15" customHeight="1" x14ac:dyDescent="0.2">
      <c r="A8" s="27">
        <v>2</v>
      </c>
      <c r="B8" s="28">
        <v>45740.557440937497</v>
      </c>
      <c r="C8" s="28" t="s">
        <v>788</v>
      </c>
      <c r="D8" s="27" t="s">
        <v>176</v>
      </c>
      <c r="E8" s="27" t="s">
        <v>193</v>
      </c>
      <c r="F8" s="27" t="s">
        <v>178</v>
      </c>
      <c r="G8" s="27" t="s">
        <v>179</v>
      </c>
      <c r="H8" s="27" t="s">
        <v>223</v>
      </c>
      <c r="I8" s="27" t="s">
        <v>194</v>
      </c>
      <c r="J8" s="27" t="s">
        <v>9</v>
      </c>
      <c r="K8" s="27" t="s">
        <v>9</v>
      </c>
      <c r="L8" s="27" t="s">
        <v>9</v>
      </c>
      <c r="M8" s="27" t="s">
        <v>8</v>
      </c>
      <c r="N8" s="27" t="s">
        <v>8</v>
      </c>
      <c r="O8" s="27" t="s">
        <v>8</v>
      </c>
      <c r="P8" s="27" t="s">
        <v>9</v>
      </c>
      <c r="Q8" s="27" t="s">
        <v>9</v>
      </c>
      <c r="R8" s="27" t="s">
        <v>9</v>
      </c>
      <c r="S8" s="27" t="s">
        <v>9</v>
      </c>
      <c r="T8" s="27" t="s">
        <v>9</v>
      </c>
      <c r="U8" s="27" t="s">
        <v>8</v>
      </c>
      <c r="V8" s="27" t="s">
        <v>8</v>
      </c>
      <c r="W8" s="27" t="s">
        <v>9</v>
      </c>
      <c r="X8" s="27" t="s">
        <v>9</v>
      </c>
      <c r="Y8" s="27" t="s">
        <v>9</v>
      </c>
      <c r="Z8" s="27" t="s">
        <v>9</v>
      </c>
      <c r="AA8" s="27" t="s">
        <v>9</v>
      </c>
      <c r="AB8" s="27" t="s">
        <v>9</v>
      </c>
      <c r="AC8" s="27" t="s">
        <v>8</v>
      </c>
      <c r="AD8" s="27" t="s">
        <v>9</v>
      </c>
      <c r="AE8" s="27" t="s">
        <v>9</v>
      </c>
      <c r="AF8" s="27" t="s">
        <v>8</v>
      </c>
      <c r="AG8" s="27" t="s">
        <v>8</v>
      </c>
      <c r="AH8" s="27" t="s">
        <v>8</v>
      </c>
      <c r="AI8" s="27" t="s">
        <v>8</v>
      </c>
      <c r="AJ8" s="27" t="s">
        <v>9</v>
      </c>
      <c r="AK8" s="27" t="s">
        <v>9</v>
      </c>
      <c r="AL8" s="27" t="s">
        <v>8</v>
      </c>
      <c r="AM8" s="27" t="s">
        <v>8</v>
      </c>
      <c r="AN8" s="27" t="s">
        <v>8</v>
      </c>
      <c r="AO8" s="27" t="s">
        <v>9</v>
      </c>
      <c r="AP8" s="27" t="s">
        <v>9</v>
      </c>
      <c r="AQ8" s="27" t="s">
        <v>9</v>
      </c>
      <c r="AR8" s="27" t="s">
        <v>9</v>
      </c>
      <c r="AS8" s="27" t="s">
        <v>9</v>
      </c>
      <c r="AT8" s="27" t="s">
        <v>7</v>
      </c>
      <c r="AU8" s="27" t="s">
        <v>9</v>
      </c>
      <c r="AV8" s="27">
        <v>9</v>
      </c>
      <c r="AW8" s="27">
        <v>10</v>
      </c>
      <c r="AX8" s="29">
        <v>3</v>
      </c>
      <c r="AY8" s="27">
        <v>10</v>
      </c>
      <c r="AZ8" s="27">
        <v>10</v>
      </c>
      <c r="BA8" s="27">
        <v>9</v>
      </c>
      <c r="BB8" s="27" t="s">
        <v>231</v>
      </c>
      <c r="BC8" s="27" t="s">
        <v>183</v>
      </c>
      <c r="BD8" s="27" t="s">
        <v>196</v>
      </c>
      <c r="BE8" s="27" t="s">
        <v>254</v>
      </c>
      <c r="BF8" s="27" t="s">
        <v>234</v>
      </c>
      <c r="BG8" s="27" t="s">
        <v>234</v>
      </c>
      <c r="BH8" s="11"/>
      <c r="BI8" s="11"/>
      <c r="BJ8" s="11"/>
    </row>
    <row r="9" spans="1:62" ht="15" customHeight="1" x14ac:dyDescent="0.2">
      <c r="A9" s="27">
        <v>3</v>
      </c>
      <c r="B9" s="28">
        <v>45740.561976631943</v>
      </c>
      <c r="C9" s="28" t="s">
        <v>788</v>
      </c>
      <c r="D9" s="27" t="s">
        <v>184</v>
      </c>
      <c r="E9" s="27" t="s">
        <v>218</v>
      </c>
      <c r="F9" s="27" t="s">
        <v>200</v>
      </c>
      <c r="G9" s="27" t="s">
        <v>179</v>
      </c>
      <c r="H9" s="27" t="s">
        <v>187</v>
      </c>
      <c r="I9" s="27" t="s">
        <v>194</v>
      </c>
      <c r="J9" s="27" t="s">
        <v>9</v>
      </c>
      <c r="K9" s="27" t="s">
        <v>5</v>
      </c>
      <c r="L9" s="27" t="s">
        <v>9</v>
      </c>
      <c r="M9" s="27" t="s">
        <v>5</v>
      </c>
      <c r="N9" s="27" t="s">
        <v>8</v>
      </c>
      <c r="O9" s="27" t="s">
        <v>8</v>
      </c>
      <c r="P9" s="27" t="s">
        <v>5</v>
      </c>
      <c r="Q9" s="27" t="s">
        <v>5</v>
      </c>
      <c r="R9" s="27" t="s">
        <v>9</v>
      </c>
      <c r="S9" s="30" t="s">
        <v>5</v>
      </c>
      <c r="T9" s="30" t="s">
        <v>5</v>
      </c>
      <c r="U9" s="30" t="s">
        <v>5</v>
      </c>
      <c r="V9" s="30" t="s">
        <v>5</v>
      </c>
      <c r="W9" s="30" t="s">
        <v>5</v>
      </c>
      <c r="X9" s="30" t="s">
        <v>5</v>
      </c>
      <c r="Y9" s="30" t="s">
        <v>5</v>
      </c>
      <c r="Z9" s="30" t="s">
        <v>5</v>
      </c>
      <c r="AA9" s="30" t="s">
        <v>5</v>
      </c>
      <c r="AB9" s="30" t="s">
        <v>5</v>
      </c>
      <c r="AC9" s="30" t="s">
        <v>5</v>
      </c>
      <c r="AD9" s="30" t="s">
        <v>8</v>
      </c>
      <c r="AE9" s="30" t="s">
        <v>8</v>
      </c>
      <c r="AF9" s="30" t="s">
        <v>8</v>
      </c>
      <c r="AG9" s="30" t="s">
        <v>5</v>
      </c>
      <c r="AH9" s="30" t="s">
        <v>5</v>
      </c>
      <c r="AI9" s="30" t="s">
        <v>5</v>
      </c>
      <c r="AJ9" s="30" t="s">
        <v>5</v>
      </c>
      <c r="AK9" s="30" t="s">
        <v>5</v>
      </c>
      <c r="AL9" s="30" t="s">
        <v>8</v>
      </c>
      <c r="AM9" s="27" t="s">
        <v>5</v>
      </c>
      <c r="AN9" s="27" t="s">
        <v>5</v>
      </c>
      <c r="AO9" s="27" t="s">
        <v>5</v>
      </c>
      <c r="AP9" s="27" t="s">
        <v>9</v>
      </c>
      <c r="AQ9" s="27" t="s">
        <v>5</v>
      </c>
      <c r="AR9" s="27" t="s">
        <v>6</v>
      </c>
      <c r="AS9" s="27" t="s">
        <v>5</v>
      </c>
      <c r="AT9" s="27" t="s">
        <v>5</v>
      </c>
      <c r="AU9" s="27" t="s">
        <v>6</v>
      </c>
      <c r="AV9" s="27">
        <v>0</v>
      </c>
      <c r="AW9" s="27">
        <v>0</v>
      </c>
      <c r="AX9" s="27">
        <v>5</v>
      </c>
      <c r="AY9" s="27">
        <v>10</v>
      </c>
      <c r="AZ9" s="27">
        <v>0</v>
      </c>
      <c r="BA9" s="27">
        <v>0</v>
      </c>
      <c r="BB9" s="27" t="s">
        <v>213</v>
      </c>
      <c r="BC9" s="27" t="s">
        <v>195</v>
      </c>
      <c r="BD9" s="27" t="s">
        <v>239</v>
      </c>
      <c r="BE9" s="27" t="s">
        <v>445</v>
      </c>
      <c r="BF9" s="27" t="s">
        <v>446</v>
      </c>
      <c r="BG9" s="27" t="s">
        <v>447</v>
      </c>
      <c r="BH9" s="11"/>
      <c r="BI9" s="11"/>
      <c r="BJ9" s="11"/>
    </row>
    <row r="10" spans="1:62" ht="15" customHeight="1" x14ac:dyDescent="0.2">
      <c r="A10" s="27">
        <v>4</v>
      </c>
      <c r="B10" s="28">
        <v>45740.563705706023</v>
      </c>
      <c r="C10" s="28" t="s">
        <v>788</v>
      </c>
      <c r="D10" s="27" t="s">
        <v>197</v>
      </c>
      <c r="E10" s="27" t="s">
        <v>236</v>
      </c>
      <c r="F10" s="27" t="s">
        <v>200</v>
      </c>
      <c r="G10" s="27" t="s">
        <v>179</v>
      </c>
      <c r="H10" s="27" t="s">
        <v>187</v>
      </c>
      <c r="I10" s="27" t="s">
        <v>181</v>
      </c>
      <c r="J10" s="27" t="s">
        <v>7</v>
      </c>
      <c r="K10" s="27" t="s">
        <v>6</v>
      </c>
      <c r="L10" s="27" t="s">
        <v>9</v>
      </c>
      <c r="M10" s="27" t="s">
        <v>9</v>
      </c>
      <c r="N10" s="27" t="s">
        <v>7</v>
      </c>
      <c r="O10" s="27" t="s">
        <v>9</v>
      </c>
      <c r="P10" s="27" t="s">
        <v>9</v>
      </c>
      <c r="Q10" s="27" t="s">
        <v>9</v>
      </c>
      <c r="R10" s="27" t="s">
        <v>9</v>
      </c>
      <c r="S10" s="27" t="s">
        <v>9</v>
      </c>
      <c r="T10" s="27" t="s">
        <v>9</v>
      </c>
      <c r="U10" s="27" t="s">
        <v>6</v>
      </c>
      <c r="V10" s="27" t="s">
        <v>7</v>
      </c>
      <c r="W10" s="27" t="s">
        <v>5</v>
      </c>
      <c r="X10" s="27" t="s">
        <v>9</v>
      </c>
      <c r="Y10" s="27" t="s">
        <v>8</v>
      </c>
      <c r="Z10" s="27" t="s">
        <v>9</v>
      </c>
      <c r="AA10" s="27" t="s">
        <v>7</v>
      </c>
      <c r="AB10" s="27" t="s">
        <v>6</v>
      </c>
      <c r="AC10" s="27" t="s">
        <v>7</v>
      </c>
      <c r="AD10" s="27" t="s">
        <v>9</v>
      </c>
      <c r="AE10" s="27" t="s">
        <v>9</v>
      </c>
      <c r="AF10" s="27" t="s">
        <v>8</v>
      </c>
      <c r="AG10" s="27" t="s">
        <v>9</v>
      </c>
      <c r="AH10" s="27" t="s">
        <v>5</v>
      </c>
      <c r="AI10" s="27" t="s">
        <v>6</v>
      </c>
      <c r="AJ10" s="27" t="s">
        <v>9</v>
      </c>
      <c r="AK10" s="27" t="s">
        <v>9</v>
      </c>
      <c r="AL10" s="27" t="s">
        <v>9</v>
      </c>
      <c r="AM10" s="27" t="s">
        <v>9</v>
      </c>
      <c r="AN10" s="27" t="s">
        <v>5</v>
      </c>
      <c r="AO10" s="27" t="s">
        <v>8</v>
      </c>
      <c r="AP10" s="27" t="s">
        <v>6</v>
      </c>
      <c r="AQ10" s="27" t="s">
        <v>8</v>
      </c>
      <c r="AR10" s="27" t="s">
        <v>9</v>
      </c>
      <c r="AS10" s="27" t="s">
        <v>9</v>
      </c>
      <c r="AT10" s="27" t="s">
        <v>9</v>
      </c>
      <c r="AU10" s="27" t="s">
        <v>9</v>
      </c>
      <c r="AV10" s="27">
        <v>9</v>
      </c>
      <c r="AW10" s="27">
        <v>10</v>
      </c>
      <c r="AX10" s="27">
        <v>10</v>
      </c>
      <c r="AY10" s="27">
        <v>10</v>
      </c>
      <c r="AZ10" s="27">
        <v>10</v>
      </c>
      <c r="BA10" s="27">
        <v>5</v>
      </c>
      <c r="BB10" s="27" t="s">
        <v>347</v>
      </c>
      <c r="BC10" s="27" t="s">
        <v>347</v>
      </c>
      <c r="BD10" s="27" t="s">
        <v>348</v>
      </c>
      <c r="BE10" s="27" t="s">
        <v>448</v>
      </c>
      <c r="BF10" s="27" t="s">
        <v>449</v>
      </c>
      <c r="BG10" s="27" t="s">
        <v>450</v>
      </c>
      <c r="BH10" s="11"/>
      <c r="BI10" s="11"/>
      <c r="BJ10" s="11"/>
    </row>
    <row r="11" spans="1:62" ht="15" customHeight="1" x14ac:dyDescent="0.2">
      <c r="A11" s="27">
        <v>5</v>
      </c>
      <c r="B11" s="28">
        <v>45740.57237707176</v>
      </c>
      <c r="C11" s="28" t="s">
        <v>788</v>
      </c>
      <c r="D11" s="27" t="s">
        <v>324</v>
      </c>
      <c r="E11" s="27" t="s">
        <v>177</v>
      </c>
      <c r="F11" s="27" t="s">
        <v>200</v>
      </c>
      <c r="G11" s="27" t="s">
        <v>179</v>
      </c>
      <c r="H11" s="27" t="s">
        <v>180</v>
      </c>
      <c r="I11" s="27" t="s">
        <v>208</v>
      </c>
      <c r="J11" s="27" t="s">
        <v>9</v>
      </c>
      <c r="K11" s="27" t="s">
        <v>7</v>
      </c>
      <c r="L11" s="27" t="s">
        <v>9</v>
      </c>
      <c r="M11" s="27" t="s">
        <v>8</v>
      </c>
      <c r="N11" s="27" t="s">
        <v>9</v>
      </c>
      <c r="O11" s="27" t="s">
        <v>9</v>
      </c>
      <c r="P11" s="27" t="s">
        <v>7</v>
      </c>
      <c r="Q11" s="27" t="s">
        <v>9</v>
      </c>
      <c r="R11" s="27" t="s">
        <v>7</v>
      </c>
      <c r="S11" s="27" t="s">
        <v>9</v>
      </c>
      <c r="T11" s="27" t="s">
        <v>9</v>
      </c>
      <c r="U11" s="27" t="s">
        <v>9</v>
      </c>
      <c r="V11" s="27" t="s">
        <v>6</v>
      </c>
      <c r="W11" s="27" t="s">
        <v>8</v>
      </c>
      <c r="X11" s="27" t="s">
        <v>6</v>
      </c>
      <c r="Y11" s="27" t="s">
        <v>6</v>
      </c>
      <c r="Z11" s="27" t="s">
        <v>9</v>
      </c>
      <c r="AA11" s="27" t="s">
        <v>9</v>
      </c>
      <c r="AB11" s="27" t="s">
        <v>6</v>
      </c>
      <c r="AC11" s="27" t="s">
        <v>7</v>
      </c>
      <c r="AD11" s="27" t="s">
        <v>8</v>
      </c>
      <c r="AE11" s="27" t="s">
        <v>8</v>
      </c>
      <c r="AF11" s="27" t="s">
        <v>8</v>
      </c>
      <c r="AG11" s="27" t="s">
        <v>6</v>
      </c>
      <c r="AH11" s="27" t="s">
        <v>6</v>
      </c>
      <c r="AI11" s="27" t="s">
        <v>6</v>
      </c>
      <c r="AJ11" s="27" t="s">
        <v>9</v>
      </c>
      <c r="AK11" s="27" t="s">
        <v>7</v>
      </c>
      <c r="AL11" s="27" t="s">
        <v>8</v>
      </c>
      <c r="AM11" s="27" t="s">
        <v>8</v>
      </c>
      <c r="AN11" s="27" t="s">
        <v>7</v>
      </c>
      <c r="AO11" s="27" t="s">
        <v>5</v>
      </c>
      <c r="AP11" s="27" t="s">
        <v>7</v>
      </c>
      <c r="AQ11" s="27" t="s">
        <v>7</v>
      </c>
      <c r="AR11" s="27" t="s">
        <v>9</v>
      </c>
      <c r="AS11" s="27" t="s">
        <v>8</v>
      </c>
      <c r="AT11" s="27" t="s">
        <v>7</v>
      </c>
      <c r="AU11" s="27" t="s">
        <v>8</v>
      </c>
      <c r="AV11" s="27">
        <v>6</v>
      </c>
      <c r="AW11" s="27">
        <v>10</v>
      </c>
      <c r="AX11" s="27">
        <v>6</v>
      </c>
      <c r="AY11" s="27">
        <v>9</v>
      </c>
      <c r="AZ11" s="27">
        <v>4</v>
      </c>
      <c r="BA11" s="27">
        <v>4</v>
      </c>
      <c r="BB11" s="27" t="s">
        <v>349</v>
      </c>
      <c r="BC11" s="27" t="s">
        <v>214</v>
      </c>
      <c r="BD11" s="27" t="s">
        <v>196</v>
      </c>
      <c r="BE11" s="27" t="s">
        <v>451</v>
      </c>
      <c r="BF11" s="27" t="s">
        <v>452</v>
      </c>
      <c r="BG11" s="27" t="s">
        <v>453</v>
      </c>
      <c r="BH11" s="11"/>
      <c r="BI11" s="11"/>
      <c r="BJ11" s="11"/>
    </row>
    <row r="12" spans="1:62" ht="15" customHeight="1" x14ac:dyDescent="0.2">
      <c r="A12" s="27">
        <v>6</v>
      </c>
      <c r="B12" s="28">
        <v>45740.608830416662</v>
      </c>
      <c r="C12" s="28" t="s">
        <v>788</v>
      </c>
      <c r="D12" s="27" t="s">
        <v>184</v>
      </c>
      <c r="E12" s="27" t="s">
        <v>218</v>
      </c>
      <c r="F12" s="27" t="s">
        <v>200</v>
      </c>
      <c r="G12" s="27" t="s">
        <v>179</v>
      </c>
      <c r="H12" s="27" t="s">
        <v>187</v>
      </c>
      <c r="I12" s="27" t="s">
        <v>208</v>
      </c>
      <c r="J12" s="27" t="s">
        <v>9</v>
      </c>
      <c r="K12" s="27" t="s">
        <v>7</v>
      </c>
      <c r="L12" s="27" t="s">
        <v>7</v>
      </c>
      <c r="M12" s="27" t="s">
        <v>8</v>
      </c>
      <c r="N12" s="27" t="s">
        <v>8</v>
      </c>
      <c r="O12" s="27" t="s">
        <v>8</v>
      </c>
      <c r="P12" s="27" t="s">
        <v>8</v>
      </c>
      <c r="Q12" s="27" t="s">
        <v>8</v>
      </c>
      <c r="R12" s="27" t="s">
        <v>7</v>
      </c>
      <c r="S12" s="27" t="s">
        <v>8</v>
      </c>
      <c r="T12" s="27" t="s">
        <v>8</v>
      </c>
      <c r="U12" s="27" t="s">
        <v>6</v>
      </c>
      <c r="V12" s="27" t="s">
        <v>8</v>
      </c>
      <c r="W12" s="27" t="s">
        <v>5</v>
      </c>
      <c r="X12" s="27" t="s">
        <v>5</v>
      </c>
      <c r="Y12" s="27" t="s">
        <v>5</v>
      </c>
      <c r="Z12" s="27" t="s">
        <v>8</v>
      </c>
      <c r="AA12" s="27" t="s">
        <v>8</v>
      </c>
      <c r="AB12" s="27" t="s">
        <v>5</v>
      </c>
      <c r="AC12" s="27" t="s">
        <v>5</v>
      </c>
      <c r="AD12" s="27" t="s">
        <v>8</v>
      </c>
      <c r="AE12" s="27" t="s">
        <v>8</v>
      </c>
      <c r="AF12" s="27" t="s">
        <v>7</v>
      </c>
      <c r="AG12" s="27" t="s">
        <v>6</v>
      </c>
      <c r="AH12" s="27" t="s">
        <v>5</v>
      </c>
      <c r="AI12" s="27" t="s">
        <v>5</v>
      </c>
      <c r="AJ12" s="27" t="s">
        <v>5</v>
      </c>
      <c r="AK12" s="27" t="s">
        <v>7</v>
      </c>
      <c r="AL12" s="27" t="s">
        <v>8</v>
      </c>
      <c r="AM12" s="27" t="s">
        <v>7</v>
      </c>
      <c r="AN12" s="27" t="s">
        <v>6</v>
      </c>
      <c r="AO12" s="27" t="s">
        <v>5</v>
      </c>
      <c r="AP12" s="27" t="s">
        <v>8</v>
      </c>
      <c r="AQ12" s="27" t="s">
        <v>5</v>
      </c>
      <c r="AR12" s="27" t="s">
        <v>8</v>
      </c>
      <c r="AS12" s="27" t="s">
        <v>8</v>
      </c>
      <c r="AT12" s="27" t="s">
        <v>8</v>
      </c>
      <c r="AU12" s="27" t="s">
        <v>9</v>
      </c>
      <c r="AV12" s="27">
        <v>3</v>
      </c>
      <c r="AW12" s="27">
        <v>9</v>
      </c>
      <c r="AX12" s="27">
        <v>8</v>
      </c>
      <c r="AY12" s="27">
        <v>8</v>
      </c>
      <c r="AZ12" s="27">
        <v>1</v>
      </c>
      <c r="BA12" s="27">
        <v>0</v>
      </c>
      <c r="BB12" s="27" t="s">
        <v>350</v>
      </c>
      <c r="BC12" s="27" t="s">
        <v>351</v>
      </c>
      <c r="BD12" s="27" t="s">
        <v>191</v>
      </c>
      <c r="BE12" s="27" t="s">
        <v>245</v>
      </c>
      <c r="BF12" s="27" t="s">
        <v>454</v>
      </c>
      <c r="BG12" s="27" t="s">
        <v>455</v>
      </c>
      <c r="BH12" s="11"/>
      <c r="BI12" s="11"/>
      <c r="BJ12" s="11"/>
    </row>
    <row r="13" spans="1:62" ht="15" customHeight="1" x14ac:dyDescent="0.2">
      <c r="A13" s="27">
        <v>7</v>
      </c>
      <c r="B13" s="28">
        <v>45740.82527908565</v>
      </c>
      <c r="C13" s="28" t="s">
        <v>788</v>
      </c>
      <c r="D13" s="27" t="s">
        <v>176</v>
      </c>
      <c r="E13" s="27" t="s">
        <v>217</v>
      </c>
      <c r="F13" s="27" t="s">
        <v>200</v>
      </c>
      <c r="G13" s="27" t="s">
        <v>179</v>
      </c>
      <c r="H13" s="27" t="s">
        <v>180</v>
      </c>
      <c r="I13" s="27" t="s">
        <v>208</v>
      </c>
      <c r="J13" s="27" t="s">
        <v>9</v>
      </c>
      <c r="K13" s="27" t="s">
        <v>8</v>
      </c>
      <c r="L13" s="27" t="s">
        <v>9</v>
      </c>
      <c r="M13" s="27" t="s">
        <v>9</v>
      </c>
      <c r="N13" s="27" t="s">
        <v>7</v>
      </c>
      <c r="O13" s="27" t="s">
        <v>9</v>
      </c>
      <c r="P13" s="122" t="s">
        <v>9</v>
      </c>
      <c r="Q13" s="27" t="s">
        <v>9</v>
      </c>
      <c r="R13" s="27" t="s">
        <v>9</v>
      </c>
      <c r="S13" s="27" t="s">
        <v>9</v>
      </c>
      <c r="T13" s="27" t="s">
        <v>9</v>
      </c>
      <c r="U13" s="27" t="s">
        <v>9</v>
      </c>
      <c r="V13" s="27" t="s">
        <v>8</v>
      </c>
      <c r="W13" s="27" t="s">
        <v>9</v>
      </c>
      <c r="X13" s="27" t="s">
        <v>9</v>
      </c>
      <c r="Y13" s="27" t="s">
        <v>9</v>
      </c>
      <c r="Z13" s="27" t="s">
        <v>9</v>
      </c>
      <c r="AA13" s="27" t="s">
        <v>9</v>
      </c>
      <c r="AB13" s="27" t="s">
        <v>9</v>
      </c>
      <c r="AC13" s="27" t="s">
        <v>9</v>
      </c>
      <c r="AD13" s="27" t="s">
        <v>9</v>
      </c>
      <c r="AE13" s="27" t="s">
        <v>9</v>
      </c>
      <c r="AF13" s="27" t="s">
        <v>8</v>
      </c>
      <c r="AG13" s="27" t="s">
        <v>9</v>
      </c>
      <c r="AH13" s="27" t="s">
        <v>9</v>
      </c>
      <c r="AI13" s="27" t="s">
        <v>8</v>
      </c>
      <c r="AJ13" s="27" t="s">
        <v>9</v>
      </c>
      <c r="AK13" s="27" t="s">
        <v>9</v>
      </c>
      <c r="AL13" s="27" t="s">
        <v>8</v>
      </c>
      <c r="AM13" s="27" t="s">
        <v>9</v>
      </c>
      <c r="AN13" s="27" t="s">
        <v>9</v>
      </c>
      <c r="AO13" s="27" t="s">
        <v>9</v>
      </c>
      <c r="AP13" s="27" t="s">
        <v>8</v>
      </c>
      <c r="AQ13" s="27" t="s">
        <v>9</v>
      </c>
      <c r="AR13" s="27" t="s">
        <v>9</v>
      </c>
      <c r="AS13" s="27" t="s">
        <v>9</v>
      </c>
      <c r="AT13" s="27" t="s">
        <v>9</v>
      </c>
      <c r="AU13" s="27" t="s">
        <v>9</v>
      </c>
      <c r="AV13" s="27">
        <v>9</v>
      </c>
      <c r="AW13" s="29">
        <v>10</v>
      </c>
      <c r="AX13" s="27">
        <v>8</v>
      </c>
      <c r="AY13" s="27">
        <v>9</v>
      </c>
      <c r="AZ13" s="27">
        <v>10</v>
      </c>
      <c r="BA13" s="27">
        <v>10</v>
      </c>
      <c r="BB13" s="27" t="s">
        <v>189</v>
      </c>
      <c r="BC13" s="27" t="s">
        <v>190</v>
      </c>
      <c r="BD13" s="27" t="s">
        <v>191</v>
      </c>
      <c r="BE13" s="27" t="s">
        <v>215</v>
      </c>
      <c r="BF13" s="27" t="s">
        <v>456</v>
      </c>
      <c r="BG13" s="27" t="s">
        <v>457</v>
      </c>
      <c r="BH13" s="11"/>
      <c r="BI13" s="11"/>
      <c r="BJ13" s="11"/>
    </row>
    <row r="14" spans="1:62" ht="15" customHeight="1" x14ac:dyDescent="0.2">
      <c r="A14" s="27">
        <v>8</v>
      </c>
      <c r="B14" s="28">
        <v>45741.393769803239</v>
      </c>
      <c r="C14" s="28" t="s">
        <v>788</v>
      </c>
      <c r="D14" s="27" t="s">
        <v>184</v>
      </c>
      <c r="E14" s="27" t="s">
        <v>218</v>
      </c>
      <c r="F14" s="27" t="s">
        <v>186</v>
      </c>
      <c r="G14" s="27" t="s">
        <v>179</v>
      </c>
      <c r="H14" s="27" t="s">
        <v>180</v>
      </c>
      <c r="I14" s="27" t="s">
        <v>208</v>
      </c>
      <c r="J14" s="27" t="s">
        <v>9</v>
      </c>
      <c r="K14" s="27" t="s">
        <v>7</v>
      </c>
      <c r="L14" s="27" t="s">
        <v>8</v>
      </c>
      <c r="M14" s="27" t="s">
        <v>8</v>
      </c>
      <c r="N14" s="27" t="s">
        <v>6</v>
      </c>
      <c r="O14" s="27" t="s">
        <v>7</v>
      </c>
      <c r="P14" s="27" t="s">
        <v>7</v>
      </c>
      <c r="Q14" s="27" t="s">
        <v>9</v>
      </c>
      <c r="R14" s="27" t="s">
        <v>8</v>
      </c>
      <c r="S14" s="27" t="s">
        <v>7</v>
      </c>
      <c r="T14" s="27" t="s">
        <v>8</v>
      </c>
      <c r="U14" s="27" t="s">
        <v>6</v>
      </c>
      <c r="V14" s="27" t="s">
        <v>5</v>
      </c>
      <c r="W14" s="27" t="s">
        <v>5</v>
      </c>
      <c r="X14" s="27" t="s">
        <v>7</v>
      </c>
      <c r="Y14" s="27" t="s">
        <v>6</v>
      </c>
      <c r="Z14" s="27" t="s">
        <v>8</v>
      </c>
      <c r="AA14" s="27" t="s">
        <v>8</v>
      </c>
      <c r="AB14" s="27" t="s">
        <v>8</v>
      </c>
      <c r="AC14" s="27" t="s">
        <v>8</v>
      </c>
      <c r="AD14" s="27" t="s">
        <v>8</v>
      </c>
      <c r="AE14" s="27" t="s">
        <v>8</v>
      </c>
      <c r="AF14" s="27" t="s">
        <v>7</v>
      </c>
      <c r="AG14" s="27" t="s">
        <v>6</v>
      </c>
      <c r="AH14" s="27" t="s">
        <v>5</v>
      </c>
      <c r="AI14" s="27" t="s">
        <v>5</v>
      </c>
      <c r="AJ14" s="27" t="s">
        <v>8</v>
      </c>
      <c r="AK14" s="27" t="s">
        <v>8</v>
      </c>
      <c r="AL14" s="27" t="s">
        <v>5</v>
      </c>
      <c r="AM14" s="27" t="s">
        <v>6</v>
      </c>
      <c r="AN14" s="27" t="s">
        <v>7</v>
      </c>
      <c r="AO14" s="27" t="s">
        <v>5</v>
      </c>
      <c r="AP14" s="27" t="s">
        <v>7</v>
      </c>
      <c r="AQ14" s="27" t="s">
        <v>5</v>
      </c>
      <c r="AR14" s="27" t="s">
        <v>8</v>
      </c>
      <c r="AS14" s="27" t="s">
        <v>8</v>
      </c>
      <c r="AT14" s="27" t="s">
        <v>7</v>
      </c>
      <c r="AU14" s="27" t="s">
        <v>7</v>
      </c>
      <c r="AV14" s="27">
        <v>8</v>
      </c>
      <c r="AW14" s="27">
        <v>8</v>
      </c>
      <c r="AX14" s="27">
        <v>5</v>
      </c>
      <c r="AY14" s="27">
        <v>8</v>
      </c>
      <c r="AZ14" s="27">
        <v>7</v>
      </c>
      <c r="BA14" s="27">
        <v>8</v>
      </c>
      <c r="BB14" s="27" t="s">
        <v>352</v>
      </c>
      <c r="BC14" s="27" t="s">
        <v>353</v>
      </c>
      <c r="BD14" s="27" t="s">
        <v>196</v>
      </c>
      <c r="BE14" s="27" t="s">
        <v>458</v>
      </c>
      <c r="BF14" s="27" t="s">
        <v>459</v>
      </c>
      <c r="BG14" s="27" t="s">
        <v>460</v>
      </c>
      <c r="BH14" s="11"/>
      <c r="BI14" s="11"/>
      <c r="BJ14" s="11"/>
    </row>
    <row r="15" spans="1:62" ht="15" customHeight="1" x14ac:dyDescent="0.2">
      <c r="A15" s="27">
        <v>9</v>
      </c>
      <c r="B15" s="28">
        <v>45741.395997025465</v>
      </c>
      <c r="C15" s="28" t="s">
        <v>788</v>
      </c>
      <c r="D15" s="27" t="s">
        <v>176</v>
      </c>
      <c r="E15" s="27" t="s">
        <v>193</v>
      </c>
      <c r="F15" s="27" t="s">
        <v>178</v>
      </c>
      <c r="G15" s="27" t="s">
        <v>179</v>
      </c>
      <c r="H15" s="27" t="s">
        <v>187</v>
      </c>
      <c r="I15" s="27" t="s">
        <v>188</v>
      </c>
      <c r="J15" s="27" t="s">
        <v>8</v>
      </c>
      <c r="K15" s="27" t="s">
        <v>8</v>
      </c>
      <c r="L15" s="27" t="s">
        <v>8</v>
      </c>
      <c r="M15" s="27" t="s">
        <v>8</v>
      </c>
      <c r="N15" s="27" t="s">
        <v>8</v>
      </c>
      <c r="O15" s="27" t="s">
        <v>8</v>
      </c>
      <c r="P15" s="27" t="s">
        <v>8</v>
      </c>
      <c r="Q15" s="27" t="s">
        <v>8</v>
      </c>
      <c r="R15" s="27" t="s">
        <v>8</v>
      </c>
      <c r="S15" s="27" t="s">
        <v>8</v>
      </c>
      <c r="T15" s="27" t="s">
        <v>8</v>
      </c>
      <c r="U15" s="27" t="s">
        <v>8</v>
      </c>
      <c r="V15" s="27" t="s">
        <v>8</v>
      </c>
      <c r="W15" s="27" t="s">
        <v>8</v>
      </c>
      <c r="X15" s="27" t="s">
        <v>8</v>
      </c>
      <c r="Y15" s="27" t="s">
        <v>8</v>
      </c>
      <c r="Z15" s="27" t="s">
        <v>8</v>
      </c>
      <c r="AA15" s="27" t="s">
        <v>8</v>
      </c>
      <c r="AB15" s="27" t="s">
        <v>8</v>
      </c>
      <c r="AC15" s="27" t="s">
        <v>8</v>
      </c>
      <c r="AD15" s="27" t="s">
        <v>8</v>
      </c>
      <c r="AE15" s="27" t="s">
        <v>8</v>
      </c>
      <c r="AF15" s="27" t="s">
        <v>9</v>
      </c>
      <c r="AG15" s="27" t="s">
        <v>8</v>
      </c>
      <c r="AH15" s="27" t="s">
        <v>7</v>
      </c>
      <c r="AI15" s="27" t="s">
        <v>7</v>
      </c>
      <c r="AJ15" s="27" t="s">
        <v>8</v>
      </c>
      <c r="AK15" s="27" t="s">
        <v>8</v>
      </c>
      <c r="AL15" s="27" t="s">
        <v>7</v>
      </c>
      <c r="AM15" s="27" t="s">
        <v>8</v>
      </c>
      <c r="AN15" s="27" t="s">
        <v>8</v>
      </c>
      <c r="AO15" s="27" t="s">
        <v>9</v>
      </c>
      <c r="AP15" s="27" t="s">
        <v>8</v>
      </c>
      <c r="AQ15" s="27" t="s">
        <v>8</v>
      </c>
      <c r="AR15" s="27" t="s">
        <v>8</v>
      </c>
      <c r="AS15" s="27" t="s">
        <v>8</v>
      </c>
      <c r="AT15" s="27" t="s">
        <v>8</v>
      </c>
      <c r="AU15" s="27" t="s">
        <v>8</v>
      </c>
      <c r="AV15" s="27">
        <v>8</v>
      </c>
      <c r="AW15" s="27">
        <v>8</v>
      </c>
      <c r="AX15" s="27">
        <v>8</v>
      </c>
      <c r="AY15" s="27">
        <v>8</v>
      </c>
      <c r="AZ15" s="27">
        <v>8</v>
      </c>
      <c r="BA15" s="27">
        <v>8</v>
      </c>
      <c r="BB15" s="27" t="s">
        <v>199</v>
      </c>
      <c r="BC15" s="27" t="s">
        <v>183</v>
      </c>
      <c r="BD15" s="27" t="s">
        <v>251</v>
      </c>
      <c r="BE15" s="27" t="s">
        <v>461</v>
      </c>
      <c r="BF15" s="27" t="s">
        <v>240</v>
      </c>
      <c r="BG15" s="27" t="s">
        <v>244</v>
      </c>
      <c r="BH15" s="11"/>
      <c r="BI15" s="11"/>
      <c r="BJ15" s="11"/>
    </row>
    <row r="16" spans="1:62" ht="15" customHeight="1" x14ac:dyDescent="0.2">
      <c r="A16" s="27">
        <v>10</v>
      </c>
      <c r="B16" s="28">
        <v>45741.401981631949</v>
      </c>
      <c r="C16" s="28" t="s">
        <v>788</v>
      </c>
      <c r="D16" s="27" t="s">
        <v>216</v>
      </c>
      <c r="E16" s="27" t="s">
        <v>217</v>
      </c>
      <c r="F16" s="27" t="s">
        <v>200</v>
      </c>
      <c r="G16" s="27" t="s">
        <v>201</v>
      </c>
      <c r="H16" s="27" t="s">
        <v>187</v>
      </c>
      <c r="I16" s="27" t="s">
        <v>194</v>
      </c>
      <c r="J16" s="27" t="s">
        <v>8</v>
      </c>
      <c r="K16" s="27" t="s">
        <v>7</v>
      </c>
      <c r="L16" s="27" t="s">
        <v>8</v>
      </c>
      <c r="M16" s="27" t="s">
        <v>8</v>
      </c>
      <c r="N16" s="27" t="s">
        <v>7</v>
      </c>
      <c r="O16" s="27" t="s">
        <v>8</v>
      </c>
      <c r="P16" s="27" t="s">
        <v>7</v>
      </c>
      <c r="Q16" s="27" t="s">
        <v>7</v>
      </c>
      <c r="R16" s="27" t="s">
        <v>8</v>
      </c>
      <c r="S16" s="27" t="s">
        <v>7</v>
      </c>
      <c r="T16" s="27" t="s">
        <v>7</v>
      </c>
      <c r="U16" s="27" t="s">
        <v>7</v>
      </c>
      <c r="V16" s="27" t="s">
        <v>6</v>
      </c>
      <c r="W16" s="27" t="s">
        <v>7</v>
      </c>
      <c r="X16" s="27" t="s">
        <v>6</v>
      </c>
      <c r="Y16" s="27" t="s">
        <v>5</v>
      </c>
      <c r="Z16" s="27" t="s">
        <v>6</v>
      </c>
      <c r="AA16" s="27" t="s">
        <v>7</v>
      </c>
      <c r="AB16" s="27" t="s">
        <v>7</v>
      </c>
      <c r="AC16" s="27" t="s">
        <v>8</v>
      </c>
      <c r="AD16" s="27" t="s">
        <v>8</v>
      </c>
      <c r="AE16" s="27" t="s">
        <v>8</v>
      </c>
      <c r="AF16" s="27" t="s">
        <v>8</v>
      </c>
      <c r="AG16" s="27" t="s">
        <v>7</v>
      </c>
      <c r="AH16" s="27" t="s">
        <v>7</v>
      </c>
      <c r="AI16" s="27" t="s">
        <v>7</v>
      </c>
      <c r="AJ16" s="27" t="s">
        <v>7</v>
      </c>
      <c r="AK16" s="27" t="s">
        <v>7</v>
      </c>
      <c r="AL16" s="27" t="s">
        <v>8</v>
      </c>
      <c r="AM16" s="27" t="s">
        <v>8</v>
      </c>
      <c r="AN16" s="27" t="s">
        <v>7</v>
      </c>
      <c r="AO16" s="27" t="s">
        <v>6</v>
      </c>
      <c r="AP16" s="27" t="s">
        <v>7</v>
      </c>
      <c r="AQ16" s="27" t="s">
        <v>7</v>
      </c>
      <c r="AR16" s="27" t="s">
        <v>7</v>
      </c>
      <c r="AS16" s="27" t="s">
        <v>8</v>
      </c>
      <c r="AT16" s="27" t="s">
        <v>7</v>
      </c>
      <c r="AU16" s="27" t="s">
        <v>6</v>
      </c>
      <c r="AV16" s="27">
        <v>7</v>
      </c>
      <c r="AW16" s="27">
        <v>7</v>
      </c>
      <c r="AX16" s="27">
        <v>8</v>
      </c>
      <c r="AY16" s="27">
        <v>8</v>
      </c>
      <c r="AZ16" s="27">
        <v>5</v>
      </c>
      <c r="BA16" s="27">
        <v>5</v>
      </c>
      <c r="BB16" s="27" t="s">
        <v>354</v>
      </c>
      <c r="BC16" s="27" t="s">
        <v>355</v>
      </c>
      <c r="BD16" s="27" t="s">
        <v>210</v>
      </c>
      <c r="BE16" s="27" t="s">
        <v>462</v>
      </c>
      <c r="BF16" s="27" t="s">
        <v>463</v>
      </c>
      <c r="BG16" s="27" t="s">
        <v>464</v>
      </c>
      <c r="BH16" s="11"/>
      <c r="BI16" s="11"/>
      <c r="BJ16" s="11"/>
    </row>
    <row r="17" spans="1:62" ht="15" customHeight="1" x14ac:dyDescent="0.2">
      <c r="A17" s="27">
        <v>11</v>
      </c>
      <c r="B17" s="28">
        <v>45741.402569224534</v>
      </c>
      <c r="C17" s="28" t="s">
        <v>788</v>
      </c>
      <c r="D17" s="27" t="s">
        <v>184</v>
      </c>
      <c r="E17" s="27" t="s">
        <v>185</v>
      </c>
      <c r="F17" s="27" t="s">
        <v>200</v>
      </c>
      <c r="G17" s="27" t="s">
        <v>179</v>
      </c>
      <c r="H17" s="27" t="s">
        <v>187</v>
      </c>
      <c r="I17" s="27" t="s">
        <v>194</v>
      </c>
      <c r="J17" s="27" t="s">
        <v>9</v>
      </c>
      <c r="K17" s="27" t="s">
        <v>5</v>
      </c>
      <c r="L17" s="27" t="s">
        <v>9</v>
      </c>
      <c r="M17" s="27" t="s">
        <v>5</v>
      </c>
      <c r="N17" s="27" t="s">
        <v>5</v>
      </c>
      <c r="O17" s="27" t="s">
        <v>5</v>
      </c>
      <c r="P17" s="27" t="s">
        <v>5</v>
      </c>
      <c r="Q17" s="27" t="s">
        <v>6</v>
      </c>
      <c r="R17" s="27" t="s">
        <v>7</v>
      </c>
      <c r="S17" s="27" t="s">
        <v>7</v>
      </c>
      <c r="T17" s="27" t="s">
        <v>7</v>
      </c>
      <c r="U17" s="27" t="s">
        <v>6</v>
      </c>
      <c r="V17" s="27" t="s">
        <v>5</v>
      </c>
      <c r="W17" s="27" t="s">
        <v>5</v>
      </c>
      <c r="X17" s="27" t="s">
        <v>5</v>
      </c>
      <c r="Y17" s="27" t="s">
        <v>5</v>
      </c>
      <c r="Z17" s="27" t="s">
        <v>7</v>
      </c>
      <c r="AA17" s="27" t="s">
        <v>8</v>
      </c>
      <c r="AB17" s="27" t="s">
        <v>5</v>
      </c>
      <c r="AC17" s="27" t="s">
        <v>5</v>
      </c>
      <c r="AD17" s="27" t="s">
        <v>8</v>
      </c>
      <c r="AE17" s="27" t="s">
        <v>8</v>
      </c>
      <c r="AF17" s="27" t="s">
        <v>5</v>
      </c>
      <c r="AG17" s="27" t="s">
        <v>5</v>
      </c>
      <c r="AH17" s="27" t="s">
        <v>5</v>
      </c>
      <c r="AI17" s="27" t="s">
        <v>5</v>
      </c>
      <c r="AJ17" s="27" t="s">
        <v>9</v>
      </c>
      <c r="AK17" s="27" t="s">
        <v>5</v>
      </c>
      <c r="AL17" s="27" t="s">
        <v>5</v>
      </c>
      <c r="AM17" s="27" t="s">
        <v>5</v>
      </c>
      <c r="AN17" s="27" t="s">
        <v>5</v>
      </c>
      <c r="AO17" s="27" t="s">
        <v>5</v>
      </c>
      <c r="AP17" s="27" t="s">
        <v>6</v>
      </c>
      <c r="AQ17" s="27" t="s">
        <v>5</v>
      </c>
      <c r="AR17" s="27" t="s">
        <v>8</v>
      </c>
      <c r="AS17" s="27" t="s">
        <v>7</v>
      </c>
      <c r="AT17" s="27" t="s">
        <v>6</v>
      </c>
      <c r="AU17" s="27" t="s">
        <v>6</v>
      </c>
      <c r="AV17" s="27">
        <v>1</v>
      </c>
      <c r="AW17" s="27">
        <v>3</v>
      </c>
      <c r="AX17" s="27">
        <v>3</v>
      </c>
      <c r="AY17" s="27">
        <v>0</v>
      </c>
      <c r="AZ17" s="27">
        <v>1</v>
      </c>
      <c r="BA17" s="27">
        <v>1</v>
      </c>
      <c r="BB17" s="27" t="s">
        <v>206</v>
      </c>
      <c r="BC17" s="27" t="s">
        <v>356</v>
      </c>
      <c r="BD17" s="27" t="s">
        <v>239</v>
      </c>
      <c r="BE17" s="27" t="s">
        <v>465</v>
      </c>
      <c r="BF17" s="27" t="s">
        <v>226</v>
      </c>
      <c r="BG17" s="27" t="s">
        <v>466</v>
      </c>
      <c r="BH17" s="11"/>
      <c r="BI17" s="11"/>
      <c r="BJ17" s="11"/>
    </row>
    <row r="18" spans="1:62" ht="15" customHeight="1" x14ac:dyDescent="0.2">
      <c r="A18" s="27">
        <v>12</v>
      </c>
      <c r="B18" s="28">
        <v>45741.406260509262</v>
      </c>
      <c r="C18" s="28" t="s">
        <v>789</v>
      </c>
      <c r="D18" s="27" t="s">
        <v>249</v>
      </c>
      <c r="E18" s="27" t="s">
        <v>250</v>
      </c>
      <c r="F18" s="27" t="s">
        <v>200</v>
      </c>
      <c r="G18" s="27" t="s">
        <v>179</v>
      </c>
      <c r="H18" s="27" t="s">
        <v>180</v>
      </c>
      <c r="I18" s="27" t="s">
        <v>181</v>
      </c>
      <c r="J18" s="27" t="s">
        <v>9</v>
      </c>
      <c r="K18" s="27" t="s">
        <v>8</v>
      </c>
      <c r="L18" s="27" t="s">
        <v>9</v>
      </c>
      <c r="M18" s="27" t="s">
        <v>8</v>
      </c>
      <c r="N18" s="27" t="s">
        <v>7</v>
      </c>
      <c r="O18" s="27" t="s">
        <v>9</v>
      </c>
      <c r="P18" s="27" t="s">
        <v>8</v>
      </c>
      <c r="Q18" s="27" t="s">
        <v>8</v>
      </c>
      <c r="R18" s="27" t="s">
        <v>9</v>
      </c>
      <c r="S18" s="30" t="s">
        <v>8</v>
      </c>
      <c r="T18" s="30" t="s">
        <v>9</v>
      </c>
      <c r="U18" s="30" t="s">
        <v>9</v>
      </c>
      <c r="V18" s="30" t="s">
        <v>8</v>
      </c>
      <c r="W18" s="30" t="s">
        <v>9</v>
      </c>
      <c r="X18" s="30" t="s">
        <v>9</v>
      </c>
      <c r="Y18" s="30" t="s">
        <v>9</v>
      </c>
      <c r="Z18" s="30" t="s">
        <v>8</v>
      </c>
      <c r="AA18" s="30" t="s">
        <v>9</v>
      </c>
      <c r="AB18" s="30" t="s">
        <v>9</v>
      </c>
      <c r="AC18" s="30" t="s">
        <v>9</v>
      </c>
      <c r="AD18" s="30" t="s">
        <v>9</v>
      </c>
      <c r="AE18" s="30" t="s">
        <v>9</v>
      </c>
      <c r="AF18" s="30" t="s">
        <v>9</v>
      </c>
      <c r="AG18" s="30" t="s">
        <v>8</v>
      </c>
      <c r="AH18" s="30" t="s">
        <v>8</v>
      </c>
      <c r="AI18" s="30" t="s">
        <v>8</v>
      </c>
      <c r="AJ18" s="30" t="s">
        <v>9</v>
      </c>
      <c r="AK18" s="30" t="s">
        <v>9</v>
      </c>
      <c r="AL18" s="30" t="s">
        <v>9</v>
      </c>
      <c r="AM18" s="27" t="s">
        <v>9</v>
      </c>
      <c r="AN18" s="27" t="s">
        <v>8</v>
      </c>
      <c r="AO18" s="27" t="s">
        <v>5</v>
      </c>
      <c r="AP18" s="27" t="s">
        <v>9</v>
      </c>
      <c r="AQ18" s="27" t="s">
        <v>6</v>
      </c>
      <c r="AR18" s="27" t="s">
        <v>9</v>
      </c>
      <c r="AS18" s="27" t="s">
        <v>9</v>
      </c>
      <c r="AT18" s="27" t="s">
        <v>8</v>
      </c>
      <c r="AU18" s="27" t="s">
        <v>9</v>
      </c>
      <c r="AV18" s="27">
        <v>9</v>
      </c>
      <c r="AW18" s="27">
        <v>10</v>
      </c>
      <c r="AX18" s="27">
        <v>10</v>
      </c>
      <c r="AY18" s="27">
        <v>9</v>
      </c>
      <c r="AZ18" s="27">
        <v>10</v>
      </c>
      <c r="BA18" s="27">
        <v>10</v>
      </c>
      <c r="BB18" s="27" t="s">
        <v>357</v>
      </c>
      <c r="BC18" s="27" t="s">
        <v>358</v>
      </c>
      <c r="BD18" s="27" t="s">
        <v>359</v>
      </c>
      <c r="BE18" s="27" t="s">
        <v>467</v>
      </c>
      <c r="BF18" s="27" t="s">
        <v>468</v>
      </c>
      <c r="BG18" s="27" t="s">
        <v>469</v>
      </c>
      <c r="BH18" s="11"/>
      <c r="BI18" s="11"/>
      <c r="BJ18" s="11"/>
    </row>
    <row r="19" spans="1:62" ht="15" customHeight="1" x14ac:dyDescent="0.2">
      <c r="A19" s="27">
        <v>13</v>
      </c>
      <c r="B19" s="28">
        <v>45741.407757418987</v>
      </c>
      <c r="C19" s="28" t="s">
        <v>788</v>
      </c>
      <c r="D19" s="27" t="s">
        <v>216</v>
      </c>
      <c r="E19" s="27" t="s">
        <v>217</v>
      </c>
      <c r="F19" s="27" t="s">
        <v>200</v>
      </c>
      <c r="G19" s="27" t="s">
        <v>179</v>
      </c>
      <c r="H19" s="27" t="s">
        <v>223</v>
      </c>
      <c r="I19" s="27" t="s">
        <v>194</v>
      </c>
      <c r="J19" s="27" t="s">
        <v>9</v>
      </c>
      <c r="K19" s="27" t="s">
        <v>7</v>
      </c>
      <c r="L19" s="27" t="s">
        <v>9</v>
      </c>
      <c r="M19" s="27" t="s">
        <v>9</v>
      </c>
      <c r="N19" s="27" t="s">
        <v>8</v>
      </c>
      <c r="O19" s="27" t="s">
        <v>9</v>
      </c>
      <c r="P19" s="27" t="s">
        <v>9</v>
      </c>
      <c r="Q19" s="27" t="s">
        <v>9</v>
      </c>
      <c r="R19" s="27" t="s">
        <v>9</v>
      </c>
      <c r="S19" s="27" t="s">
        <v>9</v>
      </c>
      <c r="T19" s="27" t="s">
        <v>9</v>
      </c>
      <c r="U19" s="27" t="s">
        <v>6</v>
      </c>
      <c r="V19" s="27" t="s">
        <v>6</v>
      </c>
      <c r="W19" s="27" t="s">
        <v>8</v>
      </c>
      <c r="X19" s="27" t="s">
        <v>8</v>
      </c>
      <c r="Y19" s="27" t="s">
        <v>6</v>
      </c>
      <c r="Z19" s="27" t="s">
        <v>9</v>
      </c>
      <c r="AA19" s="27" t="s">
        <v>8</v>
      </c>
      <c r="AB19" s="27" t="s">
        <v>9</v>
      </c>
      <c r="AC19" s="27" t="s">
        <v>9</v>
      </c>
      <c r="AD19" s="27" t="s">
        <v>9</v>
      </c>
      <c r="AE19" s="27" t="s">
        <v>9</v>
      </c>
      <c r="AF19" s="27" t="s">
        <v>7</v>
      </c>
      <c r="AG19" s="27" t="s">
        <v>7</v>
      </c>
      <c r="AH19" s="27" t="s">
        <v>7</v>
      </c>
      <c r="AI19" s="27" t="s">
        <v>6</v>
      </c>
      <c r="AJ19" s="27" t="s">
        <v>9</v>
      </c>
      <c r="AK19" s="27" t="s">
        <v>9</v>
      </c>
      <c r="AL19" s="27" t="s">
        <v>8</v>
      </c>
      <c r="AM19" s="27" t="s">
        <v>9</v>
      </c>
      <c r="AN19" s="27" t="s">
        <v>7</v>
      </c>
      <c r="AO19" s="27" t="s">
        <v>5</v>
      </c>
      <c r="AP19" s="27" t="s">
        <v>9</v>
      </c>
      <c r="AQ19" s="27" t="s">
        <v>5</v>
      </c>
      <c r="AR19" s="27" t="s">
        <v>9</v>
      </c>
      <c r="AS19" s="27" t="s">
        <v>9</v>
      </c>
      <c r="AT19" s="27" t="s">
        <v>9</v>
      </c>
      <c r="AU19" s="27" t="s">
        <v>9</v>
      </c>
      <c r="AV19" s="27">
        <v>8</v>
      </c>
      <c r="AW19" s="27">
        <v>10</v>
      </c>
      <c r="AX19" s="27">
        <v>10</v>
      </c>
      <c r="AY19" s="27">
        <v>10</v>
      </c>
      <c r="AZ19" s="27">
        <v>8</v>
      </c>
      <c r="BA19" s="27">
        <v>7</v>
      </c>
      <c r="BB19" s="27" t="s">
        <v>238</v>
      </c>
      <c r="BC19" s="27" t="s">
        <v>225</v>
      </c>
      <c r="BD19" s="27" t="s">
        <v>207</v>
      </c>
      <c r="BE19" s="27" t="s">
        <v>470</v>
      </c>
      <c r="BF19" s="27" t="s">
        <v>471</v>
      </c>
      <c r="BG19" s="27" t="s">
        <v>472</v>
      </c>
      <c r="BH19" s="11"/>
      <c r="BI19" s="11"/>
      <c r="BJ19" s="11"/>
    </row>
    <row r="20" spans="1:62" ht="15" customHeight="1" x14ac:dyDescent="0.2">
      <c r="A20" s="27">
        <v>14</v>
      </c>
      <c r="B20" s="28">
        <v>45741.415688101857</v>
      </c>
      <c r="C20" s="28" t="s">
        <v>790</v>
      </c>
      <c r="D20" s="27" t="s">
        <v>325</v>
      </c>
      <c r="E20" s="27" t="s">
        <v>185</v>
      </c>
      <c r="F20" s="27" t="s">
        <v>205</v>
      </c>
      <c r="G20" s="27" t="s">
        <v>179</v>
      </c>
      <c r="H20" s="27" t="s">
        <v>187</v>
      </c>
      <c r="I20" s="27" t="s">
        <v>208</v>
      </c>
      <c r="J20" s="27" t="s">
        <v>9</v>
      </c>
      <c r="K20" s="27" t="s">
        <v>9</v>
      </c>
      <c r="L20" s="27" t="s">
        <v>9</v>
      </c>
      <c r="M20" s="27" t="s">
        <v>9</v>
      </c>
      <c r="N20" s="27" t="s">
        <v>9</v>
      </c>
      <c r="O20" s="27" t="s">
        <v>9</v>
      </c>
      <c r="P20" s="27" t="s">
        <v>9</v>
      </c>
      <c r="Q20" s="27" t="s">
        <v>9</v>
      </c>
      <c r="R20" s="27" t="s">
        <v>9</v>
      </c>
      <c r="S20" s="27" t="s">
        <v>9</v>
      </c>
      <c r="T20" s="27" t="s">
        <v>9</v>
      </c>
      <c r="U20" s="27" t="s">
        <v>9</v>
      </c>
      <c r="V20" s="27" t="s">
        <v>9</v>
      </c>
      <c r="W20" s="27" t="s">
        <v>9</v>
      </c>
      <c r="X20" s="27" t="s">
        <v>9</v>
      </c>
      <c r="Y20" s="27" t="s">
        <v>9</v>
      </c>
      <c r="Z20" s="27" t="s">
        <v>9</v>
      </c>
      <c r="AA20" s="27" t="s">
        <v>9</v>
      </c>
      <c r="AB20" s="27" t="s">
        <v>9</v>
      </c>
      <c r="AC20" s="27" t="s">
        <v>9</v>
      </c>
      <c r="AD20" s="27" t="s">
        <v>9</v>
      </c>
      <c r="AE20" s="27" t="s">
        <v>9</v>
      </c>
      <c r="AF20" s="27" t="s">
        <v>8</v>
      </c>
      <c r="AG20" s="27" t="s">
        <v>9</v>
      </c>
      <c r="AH20" s="27" t="s">
        <v>9</v>
      </c>
      <c r="AI20" s="27" t="s">
        <v>8</v>
      </c>
      <c r="AJ20" s="27" t="s">
        <v>9</v>
      </c>
      <c r="AK20" s="27" t="s">
        <v>9</v>
      </c>
      <c r="AL20" s="27" t="s">
        <v>9</v>
      </c>
      <c r="AM20" s="27" t="s">
        <v>9</v>
      </c>
      <c r="AN20" s="27" t="s">
        <v>9</v>
      </c>
      <c r="AO20" s="27" t="s">
        <v>9</v>
      </c>
      <c r="AP20" s="27" t="s">
        <v>9</v>
      </c>
      <c r="AQ20" s="27" t="s">
        <v>9</v>
      </c>
      <c r="AR20" s="27" t="s">
        <v>9</v>
      </c>
      <c r="AS20" s="27" t="s">
        <v>9</v>
      </c>
      <c r="AT20" s="27" t="s">
        <v>9</v>
      </c>
      <c r="AU20" s="27" t="s">
        <v>9</v>
      </c>
      <c r="AV20" s="27">
        <v>9</v>
      </c>
      <c r="AW20" s="27">
        <v>9</v>
      </c>
      <c r="AX20" s="27">
        <v>9</v>
      </c>
      <c r="AY20" s="27">
        <v>10</v>
      </c>
      <c r="AZ20" s="27">
        <v>10</v>
      </c>
      <c r="BA20" s="27">
        <v>10</v>
      </c>
      <c r="BB20" s="27" t="s">
        <v>219</v>
      </c>
      <c r="BC20" s="27" t="s">
        <v>182</v>
      </c>
      <c r="BD20" s="27" t="s">
        <v>183</v>
      </c>
      <c r="BE20" s="27" t="s">
        <v>473</v>
      </c>
      <c r="BF20" s="27" t="s">
        <v>474</v>
      </c>
      <c r="BG20" s="27" t="s">
        <v>475</v>
      </c>
      <c r="BH20" s="11"/>
      <c r="BI20" s="11"/>
      <c r="BJ20" s="11"/>
    </row>
    <row r="21" spans="1:62" ht="15" customHeight="1" x14ac:dyDescent="0.2">
      <c r="A21" s="27">
        <v>15</v>
      </c>
      <c r="B21" s="28">
        <v>45741.427050590282</v>
      </c>
      <c r="C21" s="28" t="s">
        <v>788</v>
      </c>
      <c r="D21" s="27" t="s">
        <v>176</v>
      </c>
      <c r="E21" s="27" t="s">
        <v>193</v>
      </c>
      <c r="F21" s="27" t="s">
        <v>200</v>
      </c>
      <c r="G21" s="27" t="s">
        <v>201</v>
      </c>
      <c r="H21" s="27" t="s">
        <v>187</v>
      </c>
      <c r="I21" s="27" t="s">
        <v>188</v>
      </c>
      <c r="J21" s="27" t="s">
        <v>8</v>
      </c>
      <c r="K21" s="27" t="s">
        <v>7</v>
      </c>
      <c r="L21" s="27" t="s">
        <v>9</v>
      </c>
      <c r="M21" s="27" t="s">
        <v>9</v>
      </c>
      <c r="N21" s="27" t="s">
        <v>8</v>
      </c>
      <c r="O21" s="27" t="s">
        <v>9</v>
      </c>
      <c r="P21" s="27" t="s">
        <v>6</v>
      </c>
      <c r="Q21" s="27" t="s">
        <v>7</v>
      </c>
      <c r="R21" s="27" t="s">
        <v>9</v>
      </c>
      <c r="S21" s="27" t="s">
        <v>5</v>
      </c>
      <c r="T21" s="27" t="s">
        <v>7</v>
      </c>
      <c r="U21" s="27" t="s">
        <v>6</v>
      </c>
      <c r="V21" s="27" t="s">
        <v>5</v>
      </c>
      <c r="W21" s="27" t="s">
        <v>8</v>
      </c>
      <c r="X21" s="27" t="s">
        <v>7</v>
      </c>
      <c r="Y21" s="27" t="s">
        <v>5</v>
      </c>
      <c r="Z21" s="27" t="s">
        <v>5</v>
      </c>
      <c r="AA21" s="27" t="s">
        <v>5</v>
      </c>
      <c r="AB21" s="27" t="s">
        <v>8</v>
      </c>
      <c r="AC21" s="27" t="s">
        <v>8</v>
      </c>
      <c r="AD21" s="27" t="s">
        <v>6</v>
      </c>
      <c r="AE21" s="27" t="s">
        <v>6</v>
      </c>
      <c r="AF21" s="27" t="s">
        <v>9</v>
      </c>
      <c r="AG21" s="27" t="s">
        <v>7</v>
      </c>
      <c r="AH21" s="27" t="s">
        <v>5</v>
      </c>
      <c r="AI21" s="27" t="s">
        <v>6</v>
      </c>
      <c r="AJ21" s="27" t="s">
        <v>7</v>
      </c>
      <c r="AK21" s="27" t="s">
        <v>8</v>
      </c>
      <c r="AL21" s="27" t="s">
        <v>7</v>
      </c>
      <c r="AM21" s="27" t="s">
        <v>7</v>
      </c>
      <c r="AN21" s="27" t="s">
        <v>7</v>
      </c>
      <c r="AO21" s="27" t="s">
        <v>7</v>
      </c>
      <c r="AP21" s="27" t="s">
        <v>9</v>
      </c>
      <c r="AQ21" s="27" t="s">
        <v>6</v>
      </c>
      <c r="AR21" s="27" t="s">
        <v>5</v>
      </c>
      <c r="AS21" s="27" t="s">
        <v>7</v>
      </c>
      <c r="AT21" s="27" t="s">
        <v>7</v>
      </c>
      <c r="AU21" s="27" t="s">
        <v>5</v>
      </c>
      <c r="AV21" s="27">
        <v>10</v>
      </c>
      <c r="AW21" s="27">
        <v>3</v>
      </c>
      <c r="AX21" s="27">
        <v>7</v>
      </c>
      <c r="AY21" s="27">
        <v>10</v>
      </c>
      <c r="AZ21" s="27">
        <v>4</v>
      </c>
      <c r="BA21" s="27">
        <v>8</v>
      </c>
      <c r="BB21" s="27" t="s">
        <v>222</v>
      </c>
      <c r="BC21" s="27" t="s">
        <v>190</v>
      </c>
      <c r="BD21" s="27" t="s">
        <v>239</v>
      </c>
      <c r="BE21" s="27" t="s">
        <v>73</v>
      </c>
      <c r="BF21" s="27" t="s">
        <v>476</v>
      </c>
      <c r="BG21" s="27" t="s">
        <v>477</v>
      </c>
      <c r="BH21" s="11"/>
      <c r="BI21" s="11"/>
      <c r="BJ21" s="11"/>
    </row>
    <row r="22" spans="1:62" ht="15" customHeight="1" x14ac:dyDescent="0.2">
      <c r="A22" s="27">
        <v>16</v>
      </c>
      <c r="B22" s="28">
        <v>45741.439948680556</v>
      </c>
      <c r="C22" s="28" t="s">
        <v>790</v>
      </c>
      <c r="D22" s="27" t="s">
        <v>216</v>
      </c>
      <c r="E22" s="27" t="s">
        <v>193</v>
      </c>
      <c r="F22" s="27" t="s">
        <v>200</v>
      </c>
      <c r="G22" s="27" t="s">
        <v>201</v>
      </c>
      <c r="H22" s="27" t="s">
        <v>187</v>
      </c>
      <c r="I22" s="27" t="s">
        <v>198</v>
      </c>
      <c r="J22" s="27" t="s">
        <v>9</v>
      </c>
      <c r="K22" s="27" t="s">
        <v>7</v>
      </c>
      <c r="L22" s="27" t="s">
        <v>9</v>
      </c>
      <c r="M22" s="27" t="s">
        <v>8</v>
      </c>
      <c r="N22" s="27" t="s">
        <v>7</v>
      </c>
      <c r="O22" s="27" t="s">
        <v>5</v>
      </c>
      <c r="P22" s="27" t="s">
        <v>6</v>
      </c>
      <c r="Q22" s="27" t="s">
        <v>6</v>
      </c>
      <c r="R22" s="27" t="s">
        <v>9</v>
      </c>
      <c r="S22" s="27" t="s">
        <v>6</v>
      </c>
      <c r="T22" s="27" t="s">
        <v>6</v>
      </c>
      <c r="U22" s="27" t="s">
        <v>7</v>
      </c>
      <c r="V22" s="27" t="s">
        <v>6</v>
      </c>
      <c r="W22" s="27" t="s">
        <v>6</v>
      </c>
      <c r="X22" s="27" t="s">
        <v>7</v>
      </c>
      <c r="Y22" s="27" t="s">
        <v>5</v>
      </c>
      <c r="Z22" s="27" t="s">
        <v>6</v>
      </c>
      <c r="AA22" s="27" t="s">
        <v>7</v>
      </c>
      <c r="AB22" s="27" t="s">
        <v>6</v>
      </c>
      <c r="AC22" s="27" t="s">
        <v>8</v>
      </c>
      <c r="AD22" s="27" t="s">
        <v>7</v>
      </c>
      <c r="AE22" s="27" t="s">
        <v>8</v>
      </c>
      <c r="AF22" s="27" t="s">
        <v>7</v>
      </c>
      <c r="AG22" s="27" t="s">
        <v>8</v>
      </c>
      <c r="AH22" s="27" t="s">
        <v>6</v>
      </c>
      <c r="AI22" s="27" t="s">
        <v>6</v>
      </c>
      <c r="AJ22" s="27" t="s">
        <v>8</v>
      </c>
      <c r="AK22" s="27" t="s">
        <v>6</v>
      </c>
      <c r="AL22" s="27" t="s">
        <v>7</v>
      </c>
      <c r="AM22" s="27" t="s">
        <v>7</v>
      </c>
      <c r="AN22" s="27" t="s">
        <v>6</v>
      </c>
      <c r="AO22" s="27" t="s">
        <v>6</v>
      </c>
      <c r="AP22" s="27" t="s">
        <v>7</v>
      </c>
      <c r="AQ22" s="27" t="s">
        <v>6</v>
      </c>
      <c r="AR22" s="27" t="s">
        <v>6</v>
      </c>
      <c r="AS22" s="27" t="s">
        <v>8</v>
      </c>
      <c r="AT22" s="27" t="s">
        <v>6</v>
      </c>
      <c r="AU22" s="27" t="s">
        <v>6</v>
      </c>
      <c r="AV22" s="27">
        <v>3</v>
      </c>
      <c r="AW22" s="27">
        <v>2</v>
      </c>
      <c r="AX22" s="27">
        <v>4</v>
      </c>
      <c r="AY22" s="27">
        <v>7</v>
      </c>
      <c r="AZ22" s="27">
        <v>7</v>
      </c>
      <c r="BA22" s="27">
        <v>2</v>
      </c>
      <c r="BB22" s="27" t="s">
        <v>199</v>
      </c>
      <c r="BC22" s="27" t="s">
        <v>211</v>
      </c>
      <c r="BD22" s="27" t="s">
        <v>221</v>
      </c>
      <c r="BE22" s="27" t="s">
        <v>478</v>
      </c>
      <c r="BF22" s="27" t="s">
        <v>479</v>
      </c>
      <c r="BG22" s="27" t="s">
        <v>480</v>
      </c>
      <c r="BH22" s="11"/>
      <c r="BI22" s="11"/>
      <c r="BJ22" s="11"/>
    </row>
    <row r="23" spans="1:62" ht="15" customHeight="1" x14ac:dyDescent="0.2">
      <c r="A23" s="27">
        <v>17</v>
      </c>
      <c r="B23" s="28">
        <v>45741.471670810184</v>
      </c>
      <c r="C23" s="28" t="s">
        <v>790</v>
      </c>
      <c r="D23" s="27" t="s">
        <v>212</v>
      </c>
      <c r="E23" s="27" t="s">
        <v>217</v>
      </c>
      <c r="F23" s="27" t="s">
        <v>200</v>
      </c>
      <c r="G23" s="27" t="s">
        <v>201</v>
      </c>
      <c r="H23" s="27" t="s">
        <v>187</v>
      </c>
      <c r="I23" s="27" t="s">
        <v>194</v>
      </c>
      <c r="J23" s="27" t="s">
        <v>9</v>
      </c>
      <c r="K23" s="27" t="s">
        <v>9</v>
      </c>
      <c r="L23" s="27" t="s">
        <v>9</v>
      </c>
      <c r="M23" s="27" t="s">
        <v>7</v>
      </c>
      <c r="N23" s="27" t="s">
        <v>8</v>
      </c>
      <c r="O23" s="27" t="s">
        <v>8</v>
      </c>
      <c r="P23" s="27" t="s">
        <v>7</v>
      </c>
      <c r="Q23" s="27" t="s">
        <v>6</v>
      </c>
      <c r="R23" s="27" t="s">
        <v>7</v>
      </c>
      <c r="S23" s="27" t="s">
        <v>7</v>
      </c>
      <c r="T23" s="27" t="s">
        <v>5</v>
      </c>
      <c r="U23" s="27" t="s">
        <v>8</v>
      </c>
      <c r="V23" s="27" t="s">
        <v>7</v>
      </c>
      <c r="W23" s="27" t="s">
        <v>8</v>
      </c>
      <c r="X23" s="27" t="s">
        <v>7</v>
      </c>
      <c r="Y23" s="27" t="s">
        <v>8</v>
      </c>
      <c r="Z23" s="27" t="s">
        <v>6</v>
      </c>
      <c r="AA23" s="27" t="s">
        <v>6</v>
      </c>
      <c r="AB23" s="27" t="s">
        <v>8</v>
      </c>
      <c r="AC23" s="27" t="s">
        <v>7</v>
      </c>
      <c r="AD23" s="27" t="s">
        <v>8</v>
      </c>
      <c r="AE23" s="27" t="s">
        <v>9</v>
      </c>
      <c r="AF23" s="27" t="s">
        <v>6</v>
      </c>
      <c r="AG23" s="27" t="s">
        <v>5</v>
      </c>
      <c r="AH23" s="27" t="s">
        <v>5</v>
      </c>
      <c r="AI23" s="27" t="s">
        <v>5</v>
      </c>
      <c r="AJ23" s="27" t="s">
        <v>9</v>
      </c>
      <c r="AK23" s="27" t="s">
        <v>9</v>
      </c>
      <c r="AL23" s="27" t="s">
        <v>8</v>
      </c>
      <c r="AM23" s="27" t="s">
        <v>7</v>
      </c>
      <c r="AN23" s="27" t="s">
        <v>7</v>
      </c>
      <c r="AO23" s="27" t="s">
        <v>8</v>
      </c>
      <c r="AP23" s="27" t="s">
        <v>9</v>
      </c>
      <c r="AQ23" s="27" t="s">
        <v>7</v>
      </c>
      <c r="AR23" s="27" t="s">
        <v>7</v>
      </c>
      <c r="AS23" s="27" t="s">
        <v>7</v>
      </c>
      <c r="AT23" s="27" t="s">
        <v>7</v>
      </c>
      <c r="AU23" s="27" t="s">
        <v>6</v>
      </c>
      <c r="AV23" s="27">
        <v>6</v>
      </c>
      <c r="AW23" s="27">
        <v>1</v>
      </c>
      <c r="AX23" s="27">
        <v>10</v>
      </c>
      <c r="AY23" s="27">
        <v>10</v>
      </c>
      <c r="AZ23" s="27">
        <v>7</v>
      </c>
      <c r="BA23" s="27">
        <v>9</v>
      </c>
      <c r="BB23" s="27" t="s">
        <v>206</v>
      </c>
      <c r="BC23" s="27" t="s">
        <v>360</v>
      </c>
      <c r="BD23" s="27" t="s">
        <v>183</v>
      </c>
      <c r="BE23" s="27" t="s">
        <v>481</v>
      </c>
      <c r="BF23" s="27" t="s">
        <v>482</v>
      </c>
      <c r="BG23" s="27" t="s">
        <v>483</v>
      </c>
      <c r="BH23" s="11"/>
      <c r="BI23" s="11"/>
      <c r="BJ23" s="11"/>
    </row>
    <row r="24" spans="1:62" ht="15.75" customHeight="1" x14ac:dyDescent="0.2">
      <c r="A24" s="27">
        <v>18</v>
      </c>
      <c r="B24" s="28">
        <v>45741.477257708335</v>
      </c>
      <c r="C24" s="28" t="s">
        <v>790</v>
      </c>
      <c r="D24" s="27" t="s">
        <v>197</v>
      </c>
      <c r="E24" s="27" t="s">
        <v>177</v>
      </c>
      <c r="F24" s="27" t="s">
        <v>200</v>
      </c>
      <c r="G24" s="27" t="s">
        <v>179</v>
      </c>
      <c r="H24" s="27" t="s">
        <v>187</v>
      </c>
      <c r="I24" s="27" t="s">
        <v>198</v>
      </c>
      <c r="J24" s="27" t="s">
        <v>9</v>
      </c>
      <c r="K24" s="27" t="s">
        <v>9</v>
      </c>
      <c r="L24" s="27" t="s">
        <v>9</v>
      </c>
      <c r="M24" s="27" t="s">
        <v>8</v>
      </c>
      <c r="N24" s="27" t="s">
        <v>8</v>
      </c>
      <c r="O24" s="27" t="s">
        <v>8</v>
      </c>
      <c r="P24" s="27" t="s">
        <v>9</v>
      </c>
      <c r="Q24" s="27" t="s">
        <v>9</v>
      </c>
      <c r="R24" s="27" t="s">
        <v>9</v>
      </c>
      <c r="S24" s="27" t="s">
        <v>9</v>
      </c>
      <c r="T24" s="27" t="s">
        <v>9</v>
      </c>
      <c r="U24" s="27" t="s">
        <v>8</v>
      </c>
      <c r="V24" s="27" t="s">
        <v>8</v>
      </c>
      <c r="W24" s="27" t="s">
        <v>8</v>
      </c>
      <c r="X24" s="27" t="s">
        <v>9</v>
      </c>
      <c r="Y24" s="27" t="s">
        <v>9</v>
      </c>
      <c r="Z24" s="27" t="s">
        <v>9</v>
      </c>
      <c r="AA24" s="27" t="s">
        <v>9</v>
      </c>
      <c r="AB24" s="27" t="s">
        <v>8</v>
      </c>
      <c r="AC24" s="27" t="s">
        <v>9</v>
      </c>
      <c r="AD24" s="27" t="s">
        <v>8</v>
      </c>
      <c r="AE24" s="27" t="s">
        <v>8</v>
      </c>
      <c r="AF24" s="27" t="s">
        <v>7</v>
      </c>
      <c r="AG24" s="27" t="s">
        <v>8</v>
      </c>
      <c r="AH24" s="27" t="s">
        <v>7</v>
      </c>
      <c r="AI24" s="27" t="s">
        <v>7</v>
      </c>
      <c r="AJ24" s="27" t="s">
        <v>8</v>
      </c>
      <c r="AK24" s="27" t="s">
        <v>9</v>
      </c>
      <c r="AL24" s="27" t="s">
        <v>7</v>
      </c>
      <c r="AM24" s="27" t="s">
        <v>8</v>
      </c>
      <c r="AN24" s="27" t="s">
        <v>8</v>
      </c>
      <c r="AO24" s="27" t="s">
        <v>6</v>
      </c>
      <c r="AP24" s="27" t="s">
        <v>7</v>
      </c>
      <c r="AQ24" s="27" t="s">
        <v>8</v>
      </c>
      <c r="AR24" s="27" t="s">
        <v>9</v>
      </c>
      <c r="AS24" s="27" t="s">
        <v>9</v>
      </c>
      <c r="AT24" s="27" t="s">
        <v>9</v>
      </c>
      <c r="AU24" s="27" t="s">
        <v>9</v>
      </c>
      <c r="AV24" s="27">
        <v>9</v>
      </c>
      <c r="AW24" s="27">
        <v>10</v>
      </c>
      <c r="AX24" s="27">
        <v>10</v>
      </c>
      <c r="AY24" s="27">
        <v>10</v>
      </c>
      <c r="AZ24" s="27">
        <v>10</v>
      </c>
      <c r="BA24" s="27">
        <v>8</v>
      </c>
      <c r="BB24" s="27" t="s">
        <v>361</v>
      </c>
      <c r="BC24" s="27" t="s">
        <v>182</v>
      </c>
      <c r="BD24" s="27" t="s">
        <v>221</v>
      </c>
      <c r="BE24" s="27" t="s">
        <v>484</v>
      </c>
      <c r="BF24" s="27" t="s">
        <v>485</v>
      </c>
      <c r="BG24" s="27" t="s">
        <v>486</v>
      </c>
      <c r="BH24" s="11"/>
      <c r="BI24" s="11"/>
      <c r="BJ24" s="11"/>
    </row>
    <row r="25" spans="1:62" ht="15.75" customHeight="1" x14ac:dyDescent="0.2">
      <c r="A25" s="27">
        <v>19</v>
      </c>
      <c r="B25" s="28">
        <v>45741.479977106486</v>
      </c>
      <c r="C25" s="28" t="s">
        <v>788</v>
      </c>
      <c r="D25" s="27" t="s">
        <v>184</v>
      </c>
      <c r="E25" s="27" t="s">
        <v>217</v>
      </c>
      <c r="F25" s="27" t="s">
        <v>200</v>
      </c>
      <c r="G25" s="27" t="s">
        <v>201</v>
      </c>
      <c r="H25" s="27" t="s">
        <v>187</v>
      </c>
      <c r="I25" s="27" t="s">
        <v>198</v>
      </c>
      <c r="J25" s="27" t="s">
        <v>8</v>
      </c>
      <c r="K25" s="27" t="s">
        <v>7</v>
      </c>
      <c r="L25" s="27" t="s">
        <v>9</v>
      </c>
      <c r="M25" s="27" t="s">
        <v>9</v>
      </c>
      <c r="N25" s="27" t="s">
        <v>8</v>
      </c>
      <c r="O25" s="27" t="s">
        <v>8</v>
      </c>
      <c r="P25" s="27" t="s">
        <v>8</v>
      </c>
      <c r="Q25" s="27" t="s">
        <v>8</v>
      </c>
      <c r="R25" s="27" t="s">
        <v>8</v>
      </c>
      <c r="S25" s="27" t="s">
        <v>8</v>
      </c>
      <c r="T25" s="27" t="s">
        <v>8</v>
      </c>
      <c r="U25" s="27" t="s">
        <v>8</v>
      </c>
      <c r="V25" s="27" t="s">
        <v>7</v>
      </c>
      <c r="W25" s="27" t="s">
        <v>7</v>
      </c>
      <c r="X25" s="27" t="s">
        <v>7</v>
      </c>
      <c r="Y25" s="27" t="s">
        <v>8</v>
      </c>
      <c r="Z25" s="27" t="s">
        <v>8</v>
      </c>
      <c r="AA25" s="27" t="s">
        <v>8</v>
      </c>
      <c r="AB25" s="27" t="s">
        <v>8</v>
      </c>
      <c r="AC25" s="27" t="s">
        <v>8</v>
      </c>
      <c r="AD25" s="27" t="s">
        <v>8</v>
      </c>
      <c r="AE25" s="27" t="s">
        <v>8</v>
      </c>
      <c r="AF25" s="27" t="s">
        <v>7</v>
      </c>
      <c r="AG25" s="27" t="s">
        <v>7</v>
      </c>
      <c r="AH25" s="27" t="s">
        <v>7</v>
      </c>
      <c r="AI25" s="27" t="s">
        <v>7</v>
      </c>
      <c r="AJ25" s="27" t="s">
        <v>8</v>
      </c>
      <c r="AK25" s="27" t="s">
        <v>8</v>
      </c>
      <c r="AL25" s="27" t="s">
        <v>8</v>
      </c>
      <c r="AM25" s="27" t="s">
        <v>8</v>
      </c>
      <c r="AN25" s="27" t="s">
        <v>7</v>
      </c>
      <c r="AO25" s="27" t="s">
        <v>6</v>
      </c>
      <c r="AP25" s="27" t="s">
        <v>8</v>
      </c>
      <c r="AQ25" s="27" t="s">
        <v>7</v>
      </c>
      <c r="AR25" s="27" t="s">
        <v>8</v>
      </c>
      <c r="AS25" s="27" t="s">
        <v>8</v>
      </c>
      <c r="AT25" s="27" t="s">
        <v>8</v>
      </c>
      <c r="AU25" s="27" t="s">
        <v>8</v>
      </c>
      <c r="AV25" s="27">
        <v>6</v>
      </c>
      <c r="AW25" s="27">
        <v>8</v>
      </c>
      <c r="AX25" s="27">
        <v>10</v>
      </c>
      <c r="AY25" s="27">
        <v>9</v>
      </c>
      <c r="AZ25" s="27">
        <v>4</v>
      </c>
      <c r="BA25" s="27">
        <v>5</v>
      </c>
      <c r="BB25" s="27" t="s">
        <v>258</v>
      </c>
      <c r="BC25" s="27" t="s">
        <v>211</v>
      </c>
      <c r="BD25" s="27" t="s">
        <v>183</v>
      </c>
      <c r="BE25" s="27" t="s">
        <v>487</v>
      </c>
      <c r="BF25" s="27" t="s">
        <v>488</v>
      </c>
      <c r="BG25" s="27" t="s">
        <v>489</v>
      </c>
      <c r="BH25" s="11"/>
      <c r="BI25" s="11"/>
      <c r="BJ25" s="11"/>
    </row>
    <row r="26" spans="1:62" ht="15.75" customHeight="1" x14ac:dyDescent="0.2">
      <c r="A26" s="27">
        <v>20</v>
      </c>
      <c r="B26" s="28">
        <v>45741.497644421295</v>
      </c>
      <c r="C26" s="28" t="s">
        <v>788</v>
      </c>
      <c r="D26" s="27" t="s">
        <v>184</v>
      </c>
      <c r="E26" s="27" t="s">
        <v>185</v>
      </c>
      <c r="F26" s="27" t="s">
        <v>200</v>
      </c>
      <c r="G26" s="27" t="s">
        <v>179</v>
      </c>
      <c r="H26" s="27" t="s">
        <v>187</v>
      </c>
      <c r="I26" s="27" t="s">
        <v>194</v>
      </c>
      <c r="J26" s="27" t="s">
        <v>7</v>
      </c>
      <c r="K26" s="27" t="s">
        <v>8</v>
      </c>
      <c r="L26" s="27" t="s">
        <v>8</v>
      </c>
      <c r="M26" s="27" t="s">
        <v>7</v>
      </c>
      <c r="N26" s="27" t="s">
        <v>8</v>
      </c>
      <c r="O26" s="27" t="s">
        <v>5</v>
      </c>
      <c r="P26" s="27" t="s">
        <v>6</v>
      </c>
      <c r="Q26" s="27" t="s">
        <v>6</v>
      </c>
      <c r="R26" s="27" t="s">
        <v>7</v>
      </c>
      <c r="S26" s="27" t="s">
        <v>6</v>
      </c>
      <c r="T26" s="27" t="s">
        <v>6</v>
      </c>
      <c r="U26" s="27" t="s">
        <v>6</v>
      </c>
      <c r="V26" s="27" t="s">
        <v>5</v>
      </c>
      <c r="W26" s="27" t="s">
        <v>6</v>
      </c>
      <c r="X26" s="27" t="s">
        <v>5</v>
      </c>
      <c r="Y26" s="27" t="s">
        <v>5</v>
      </c>
      <c r="Z26" s="27" t="s">
        <v>7</v>
      </c>
      <c r="AA26" s="27" t="s">
        <v>8</v>
      </c>
      <c r="AB26" s="27" t="s">
        <v>5</v>
      </c>
      <c r="AC26" s="27" t="s">
        <v>6</v>
      </c>
      <c r="AD26" s="27" t="s">
        <v>6</v>
      </c>
      <c r="AE26" s="27" t="s">
        <v>7</v>
      </c>
      <c r="AF26" s="27" t="s">
        <v>7</v>
      </c>
      <c r="AG26" s="27" t="s">
        <v>5</v>
      </c>
      <c r="AH26" s="27" t="s">
        <v>5</v>
      </c>
      <c r="AI26" s="27" t="s">
        <v>5</v>
      </c>
      <c r="AJ26" s="27" t="s">
        <v>6</v>
      </c>
      <c r="AK26" s="27" t="s">
        <v>6</v>
      </c>
      <c r="AL26" s="27" t="s">
        <v>7</v>
      </c>
      <c r="AM26" s="27" t="s">
        <v>5</v>
      </c>
      <c r="AN26" s="27" t="s">
        <v>5</v>
      </c>
      <c r="AO26" s="27" t="s">
        <v>5</v>
      </c>
      <c r="AP26" s="27" t="s">
        <v>5</v>
      </c>
      <c r="AQ26" s="27" t="s">
        <v>5</v>
      </c>
      <c r="AR26" s="27" t="s">
        <v>6</v>
      </c>
      <c r="AS26" s="27" t="s">
        <v>6</v>
      </c>
      <c r="AT26" s="27" t="s">
        <v>6</v>
      </c>
      <c r="AU26" s="27" t="s">
        <v>5</v>
      </c>
      <c r="AV26" s="27">
        <v>2</v>
      </c>
      <c r="AW26" s="27">
        <v>4</v>
      </c>
      <c r="AX26" s="27">
        <v>4</v>
      </c>
      <c r="AY26" s="27">
        <v>6</v>
      </c>
      <c r="AZ26" s="27">
        <v>0</v>
      </c>
      <c r="BA26" s="27">
        <v>3</v>
      </c>
      <c r="BB26" s="27" t="s">
        <v>362</v>
      </c>
      <c r="BC26" s="27" t="s">
        <v>363</v>
      </c>
      <c r="BD26" s="27" t="s">
        <v>239</v>
      </c>
      <c r="BE26" s="27" t="s">
        <v>490</v>
      </c>
      <c r="BF26" s="27" t="s">
        <v>491</v>
      </c>
      <c r="BG26" s="27" t="s">
        <v>490</v>
      </c>
      <c r="BH26" s="11"/>
      <c r="BI26" s="11"/>
      <c r="BJ26" s="11"/>
    </row>
    <row r="27" spans="1:62" ht="15.75" customHeight="1" x14ac:dyDescent="0.2">
      <c r="A27" s="27">
        <v>21</v>
      </c>
      <c r="B27" s="28">
        <v>45741.515972488429</v>
      </c>
      <c r="C27" s="28" t="s">
        <v>790</v>
      </c>
      <c r="D27" s="27" t="s">
        <v>197</v>
      </c>
      <c r="E27" s="27" t="s">
        <v>262</v>
      </c>
      <c r="F27" s="27" t="s">
        <v>200</v>
      </c>
      <c r="G27" s="27" t="s">
        <v>179</v>
      </c>
      <c r="H27" s="27" t="s">
        <v>187</v>
      </c>
      <c r="I27" s="27" t="s">
        <v>198</v>
      </c>
      <c r="J27" s="27" t="s">
        <v>8</v>
      </c>
      <c r="K27" s="27" t="s">
        <v>7</v>
      </c>
      <c r="L27" s="27" t="s">
        <v>8</v>
      </c>
      <c r="M27" s="27" t="s">
        <v>8</v>
      </c>
      <c r="N27" s="27" t="s">
        <v>7</v>
      </c>
      <c r="O27" s="27" t="s">
        <v>8</v>
      </c>
      <c r="P27" s="27" t="s">
        <v>6</v>
      </c>
      <c r="Q27" s="27" t="s">
        <v>8</v>
      </c>
      <c r="R27" s="27" t="s">
        <v>8</v>
      </c>
      <c r="S27" s="30" t="s">
        <v>7</v>
      </c>
      <c r="T27" s="30" t="s">
        <v>7</v>
      </c>
      <c r="U27" s="30" t="s">
        <v>6</v>
      </c>
      <c r="V27" s="30" t="s">
        <v>6</v>
      </c>
      <c r="W27" s="30" t="s">
        <v>6</v>
      </c>
      <c r="X27" s="30" t="s">
        <v>7</v>
      </c>
      <c r="Y27" s="30" t="s">
        <v>5</v>
      </c>
      <c r="Z27" s="30" t="s">
        <v>6</v>
      </c>
      <c r="AA27" s="30" t="s">
        <v>7</v>
      </c>
      <c r="AB27" s="30" t="s">
        <v>7</v>
      </c>
      <c r="AC27" s="30" t="s">
        <v>8</v>
      </c>
      <c r="AD27" s="30" t="s">
        <v>7</v>
      </c>
      <c r="AE27" s="30" t="s">
        <v>6</v>
      </c>
      <c r="AF27" s="30" t="s">
        <v>8</v>
      </c>
      <c r="AG27" s="30" t="s">
        <v>7</v>
      </c>
      <c r="AH27" s="30" t="s">
        <v>7</v>
      </c>
      <c r="AI27" s="30" t="s">
        <v>7</v>
      </c>
      <c r="AJ27" s="30" t="s">
        <v>8</v>
      </c>
      <c r="AK27" s="30" t="s">
        <v>7</v>
      </c>
      <c r="AL27" s="30" t="s">
        <v>7</v>
      </c>
      <c r="AM27" s="27" t="s">
        <v>8</v>
      </c>
      <c r="AN27" s="27" t="s">
        <v>7</v>
      </c>
      <c r="AO27" s="27" t="s">
        <v>5</v>
      </c>
      <c r="AP27" s="27" t="s">
        <v>7</v>
      </c>
      <c r="AQ27" s="27" t="s">
        <v>6</v>
      </c>
      <c r="AR27" s="27" t="s">
        <v>8</v>
      </c>
      <c r="AS27" s="27" t="s">
        <v>7</v>
      </c>
      <c r="AT27" s="27" t="s">
        <v>7</v>
      </c>
      <c r="AU27" s="27" t="s">
        <v>7</v>
      </c>
      <c r="AV27" s="27">
        <v>6</v>
      </c>
      <c r="AW27" s="27">
        <v>8</v>
      </c>
      <c r="AX27" s="27">
        <v>6</v>
      </c>
      <c r="AY27" s="27">
        <v>8</v>
      </c>
      <c r="AZ27" s="27">
        <v>6</v>
      </c>
      <c r="BA27" s="27">
        <v>5</v>
      </c>
      <c r="BB27" s="27" t="s">
        <v>364</v>
      </c>
      <c r="BC27" s="27" t="s">
        <v>214</v>
      </c>
      <c r="BD27" s="31" t="s">
        <v>365</v>
      </c>
      <c r="BE27" s="31" t="s">
        <v>492</v>
      </c>
      <c r="BF27" s="31" t="s">
        <v>493</v>
      </c>
      <c r="BG27" s="31" t="s">
        <v>494</v>
      </c>
      <c r="BH27" s="11"/>
      <c r="BI27" s="11"/>
      <c r="BJ27" s="11"/>
    </row>
    <row r="28" spans="1:62" ht="15.75" customHeight="1" x14ac:dyDescent="0.2">
      <c r="A28" s="27">
        <v>22</v>
      </c>
      <c r="B28" s="28">
        <v>45741.632355717593</v>
      </c>
      <c r="C28" s="28" t="s">
        <v>788</v>
      </c>
      <c r="D28" s="27" t="s">
        <v>176</v>
      </c>
      <c r="E28" s="27" t="s">
        <v>177</v>
      </c>
      <c r="F28" s="27" t="s">
        <v>200</v>
      </c>
      <c r="G28" s="27" t="s">
        <v>201</v>
      </c>
      <c r="H28" s="27" t="s">
        <v>187</v>
      </c>
      <c r="I28" s="27" t="s">
        <v>198</v>
      </c>
      <c r="J28" s="27" t="s">
        <v>9</v>
      </c>
      <c r="K28" s="27" t="s">
        <v>9</v>
      </c>
      <c r="L28" s="27" t="s">
        <v>9</v>
      </c>
      <c r="M28" s="27" t="s">
        <v>9</v>
      </c>
      <c r="N28" s="27" t="s">
        <v>9</v>
      </c>
      <c r="O28" s="27" t="s">
        <v>9</v>
      </c>
      <c r="P28" s="27" t="s">
        <v>8</v>
      </c>
      <c r="Q28" s="27" t="s">
        <v>9</v>
      </c>
      <c r="R28" s="27" t="s">
        <v>9</v>
      </c>
      <c r="S28" s="27" t="s">
        <v>9</v>
      </c>
      <c r="T28" s="27" t="s">
        <v>9</v>
      </c>
      <c r="U28" s="27" t="s">
        <v>9</v>
      </c>
      <c r="V28" s="27" t="s">
        <v>9</v>
      </c>
      <c r="W28" s="27" t="s">
        <v>9</v>
      </c>
      <c r="X28" s="27" t="s">
        <v>7</v>
      </c>
      <c r="Y28" s="27" t="s">
        <v>8</v>
      </c>
      <c r="Z28" s="27" t="s">
        <v>9</v>
      </c>
      <c r="AA28" s="27" t="s">
        <v>9</v>
      </c>
      <c r="AB28" s="27" t="s">
        <v>7</v>
      </c>
      <c r="AC28" s="27" t="s">
        <v>9</v>
      </c>
      <c r="AD28" s="27" t="s">
        <v>8</v>
      </c>
      <c r="AE28" s="27" t="s">
        <v>8</v>
      </c>
      <c r="AF28" s="27" t="s">
        <v>7</v>
      </c>
      <c r="AG28" s="27" t="s">
        <v>8</v>
      </c>
      <c r="AH28" s="27" t="s">
        <v>6</v>
      </c>
      <c r="AI28" s="27" t="s">
        <v>6</v>
      </c>
      <c r="AJ28" s="27" t="s">
        <v>9</v>
      </c>
      <c r="AK28" s="27" t="s">
        <v>8</v>
      </c>
      <c r="AL28" s="27" t="s">
        <v>8</v>
      </c>
      <c r="AM28" s="27" t="s">
        <v>8</v>
      </c>
      <c r="AN28" s="27" t="s">
        <v>8</v>
      </c>
      <c r="AO28" s="27" t="s">
        <v>6</v>
      </c>
      <c r="AP28" s="27" t="s">
        <v>7</v>
      </c>
      <c r="AQ28" s="27" t="s">
        <v>5</v>
      </c>
      <c r="AR28" s="27" t="s">
        <v>9</v>
      </c>
      <c r="AS28" s="27" t="s">
        <v>9</v>
      </c>
      <c r="AT28" s="27" t="s">
        <v>9</v>
      </c>
      <c r="AU28" s="27" t="s">
        <v>9</v>
      </c>
      <c r="AV28" s="27">
        <v>10</v>
      </c>
      <c r="AW28" s="27">
        <v>10</v>
      </c>
      <c r="AX28" s="27">
        <v>10</v>
      </c>
      <c r="AY28" s="27">
        <v>10</v>
      </c>
      <c r="AZ28" s="27">
        <v>10</v>
      </c>
      <c r="BA28" s="27">
        <v>9</v>
      </c>
      <c r="BB28" s="27" t="s">
        <v>366</v>
      </c>
      <c r="BC28" s="27" t="s">
        <v>182</v>
      </c>
      <c r="BD28" s="27" t="s">
        <v>367</v>
      </c>
      <c r="BE28" s="27" t="s">
        <v>495</v>
      </c>
      <c r="BF28" s="27" t="s">
        <v>496</v>
      </c>
      <c r="BG28" s="27" t="s">
        <v>497</v>
      </c>
      <c r="BH28" s="11"/>
      <c r="BI28" s="11"/>
      <c r="BJ28" s="11"/>
    </row>
    <row r="29" spans="1:62" ht="15.75" customHeight="1" x14ac:dyDescent="0.2">
      <c r="A29" s="27">
        <v>23</v>
      </c>
      <c r="B29" s="28">
        <v>45741.69518657407</v>
      </c>
      <c r="C29" s="28" t="s">
        <v>788</v>
      </c>
      <c r="D29" s="27" t="s">
        <v>176</v>
      </c>
      <c r="E29" s="27" t="s">
        <v>193</v>
      </c>
      <c r="F29" s="27" t="s">
        <v>200</v>
      </c>
      <c r="G29" s="27" t="s">
        <v>201</v>
      </c>
      <c r="H29" s="27" t="s">
        <v>187</v>
      </c>
      <c r="I29" s="27" t="s">
        <v>208</v>
      </c>
      <c r="J29" s="27" t="s">
        <v>9</v>
      </c>
      <c r="K29" s="27" t="s">
        <v>9</v>
      </c>
      <c r="L29" s="27" t="s">
        <v>9</v>
      </c>
      <c r="M29" s="27" t="s">
        <v>9</v>
      </c>
      <c r="N29" s="27" t="s">
        <v>9</v>
      </c>
      <c r="O29" s="27" t="s">
        <v>9</v>
      </c>
      <c r="P29" s="27" t="s">
        <v>8</v>
      </c>
      <c r="Q29" s="27" t="s">
        <v>8</v>
      </c>
      <c r="R29" s="27" t="s">
        <v>9</v>
      </c>
      <c r="S29" s="27" t="s">
        <v>9</v>
      </c>
      <c r="T29" s="27" t="s">
        <v>9</v>
      </c>
      <c r="U29" s="27" t="s">
        <v>8</v>
      </c>
      <c r="V29" s="27" t="s">
        <v>7</v>
      </c>
      <c r="W29" s="27" t="s">
        <v>8</v>
      </c>
      <c r="X29" s="27" t="s">
        <v>8</v>
      </c>
      <c r="Y29" s="27" t="s">
        <v>7</v>
      </c>
      <c r="Z29" s="27" t="s">
        <v>9</v>
      </c>
      <c r="AA29" s="27" t="s">
        <v>9</v>
      </c>
      <c r="AB29" s="27" t="s">
        <v>6</v>
      </c>
      <c r="AC29" s="27" t="s">
        <v>9</v>
      </c>
      <c r="AD29" s="27" t="s">
        <v>9</v>
      </c>
      <c r="AE29" s="27" t="s">
        <v>9</v>
      </c>
      <c r="AF29" s="27" t="s">
        <v>7</v>
      </c>
      <c r="AG29" s="27" t="s">
        <v>6</v>
      </c>
      <c r="AH29" s="27" t="s">
        <v>6</v>
      </c>
      <c r="AI29" s="27" t="s">
        <v>5</v>
      </c>
      <c r="AJ29" s="27" t="s">
        <v>7</v>
      </c>
      <c r="AK29" s="27" t="s">
        <v>8</v>
      </c>
      <c r="AL29" s="27" t="s">
        <v>9</v>
      </c>
      <c r="AM29" s="27" t="s">
        <v>8</v>
      </c>
      <c r="AN29" s="27" t="s">
        <v>7</v>
      </c>
      <c r="AO29" s="27" t="s">
        <v>5</v>
      </c>
      <c r="AP29" s="27" t="s">
        <v>8</v>
      </c>
      <c r="AQ29" s="27" t="s">
        <v>5</v>
      </c>
      <c r="AR29" s="27" t="s">
        <v>9</v>
      </c>
      <c r="AS29" s="27" t="s">
        <v>8</v>
      </c>
      <c r="AT29" s="27" t="s">
        <v>6</v>
      </c>
      <c r="AU29" s="27" t="s">
        <v>9</v>
      </c>
      <c r="AV29" s="27">
        <v>8</v>
      </c>
      <c r="AW29" s="27">
        <v>10</v>
      </c>
      <c r="AX29" s="27">
        <v>10</v>
      </c>
      <c r="AY29" s="27">
        <v>10</v>
      </c>
      <c r="AZ29" s="27">
        <v>9</v>
      </c>
      <c r="BA29" s="27">
        <v>9</v>
      </c>
      <c r="BB29" s="27" t="s">
        <v>209</v>
      </c>
      <c r="BC29" s="27" t="s">
        <v>182</v>
      </c>
      <c r="BD29" s="27" t="s">
        <v>207</v>
      </c>
      <c r="BE29" s="27" t="s">
        <v>498</v>
      </c>
      <c r="BF29" s="27" t="s">
        <v>234</v>
      </c>
      <c r="BG29" s="27" t="s">
        <v>499</v>
      </c>
      <c r="BH29" s="11"/>
      <c r="BI29" s="11"/>
      <c r="BJ29" s="11"/>
    </row>
    <row r="30" spans="1:62" ht="15.75" customHeight="1" x14ac:dyDescent="0.2">
      <c r="A30" s="27">
        <v>24</v>
      </c>
      <c r="B30" s="28">
        <v>45742.387093541663</v>
      </c>
      <c r="C30" s="28" t="s">
        <v>790</v>
      </c>
      <c r="D30" s="27" t="s">
        <v>325</v>
      </c>
      <c r="E30" s="27" t="s">
        <v>217</v>
      </c>
      <c r="F30" s="27" t="s">
        <v>178</v>
      </c>
      <c r="G30" s="27" t="s">
        <v>201</v>
      </c>
      <c r="H30" s="27" t="s">
        <v>223</v>
      </c>
      <c r="I30" s="27" t="s">
        <v>194</v>
      </c>
      <c r="J30" s="27" t="s">
        <v>9</v>
      </c>
      <c r="K30" s="27" t="s">
        <v>9</v>
      </c>
      <c r="L30" s="27" t="s">
        <v>9</v>
      </c>
      <c r="M30" s="27" t="s">
        <v>9</v>
      </c>
      <c r="N30" s="27" t="s">
        <v>8</v>
      </c>
      <c r="O30" s="27" t="s">
        <v>9</v>
      </c>
      <c r="P30" s="27" t="s">
        <v>8</v>
      </c>
      <c r="Q30" s="27" t="s">
        <v>9</v>
      </c>
      <c r="R30" s="27" t="s">
        <v>9</v>
      </c>
      <c r="S30" s="27" t="s">
        <v>9</v>
      </c>
      <c r="T30" s="27" t="s">
        <v>8</v>
      </c>
      <c r="U30" s="27" t="s">
        <v>9</v>
      </c>
      <c r="V30" s="27" t="s">
        <v>9</v>
      </c>
      <c r="W30" s="27" t="s">
        <v>9</v>
      </c>
      <c r="X30" s="27" t="s">
        <v>9</v>
      </c>
      <c r="Y30" s="27" t="s">
        <v>9</v>
      </c>
      <c r="Z30" s="27" t="s">
        <v>8</v>
      </c>
      <c r="AA30" s="27" t="s">
        <v>9</v>
      </c>
      <c r="AB30" s="27" t="s">
        <v>9</v>
      </c>
      <c r="AC30" s="27" t="s">
        <v>9</v>
      </c>
      <c r="AD30" s="27" t="s">
        <v>9</v>
      </c>
      <c r="AE30" s="27" t="s">
        <v>9</v>
      </c>
      <c r="AF30" s="27" t="s">
        <v>8</v>
      </c>
      <c r="AG30" s="27" t="s">
        <v>7</v>
      </c>
      <c r="AH30" s="27" t="s">
        <v>7</v>
      </c>
      <c r="AI30" s="27" t="s">
        <v>7</v>
      </c>
      <c r="AJ30" s="27" t="s">
        <v>8</v>
      </c>
      <c r="AK30" s="27" t="s">
        <v>8</v>
      </c>
      <c r="AL30" s="27" t="s">
        <v>8</v>
      </c>
      <c r="AM30" s="27" t="s">
        <v>8</v>
      </c>
      <c r="AN30" s="27" t="s">
        <v>8</v>
      </c>
      <c r="AO30" s="27" t="s">
        <v>7</v>
      </c>
      <c r="AP30" s="27" t="s">
        <v>9</v>
      </c>
      <c r="AQ30" s="27" t="s">
        <v>7</v>
      </c>
      <c r="AR30" s="27" t="s">
        <v>9</v>
      </c>
      <c r="AS30" s="27" t="s">
        <v>8</v>
      </c>
      <c r="AT30" s="27" t="s">
        <v>8</v>
      </c>
      <c r="AU30" s="27" t="s">
        <v>9</v>
      </c>
      <c r="AV30" s="27">
        <v>9</v>
      </c>
      <c r="AW30" s="27">
        <v>5</v>
      </c>
      <c r="AX30" s="27">
        <v>9</v>
      </c>
      <c r="AY30" s="27">
        <v>8</v>
      </c>
      <c r="AZ30" s="27">
        <v>9</v>
      </c>
      <c r="BA30" s="27">
        <v>8</v>
      </c>
      <c r="BB30" s="27" t="s">
        <v>189</v>
      </c>
      <c r="BC30" s="27" t="s">
        <v>182</v>
      </c>
      <c r="BD30" s="27" t="s">
        <v>221</v>
      </c>
      <c r="BE30" s="27" t="s">
        <v>500</v>
      </c>
      <c r="BF30" s="27" t="s">
        <v>501</v>
      </c>
      <c r="BG30" s="27" t="s">
        <v>502</v>
      </c>
      <c r="BH30" s="11"/>
      <c r="BI30" s="11"/>
      <c r="BJ30" s="11"/>
    </row>
    <row r="31" spans="1:62" ht="15.75" customHeight="1" x14ac:dyDescent="0.2">
      <c r="A31" s="27">
        <v>25</v>
      </c>
      <c r="B31" s="28">
        <v>45742.401359942131</v>
      </c>
      <c r="C31" s="28" t="s">
        <v>790</v>
      </c>
      <c r="D31" s="27" t="s">
        <v>176</v>
      </c>
      <c r="E31" s="27" t="s">
        <v>236</v>
      </c>
      <c r="F31" s="27" t="s">
        <v>200</v>
      </c>
      <c r="G31" s="27" t="s">
        <v>201</v>
      </c>
      <c r="H31" s="27" t="s">
        <v>180</v>
      </c>
      <c r="I31" s="27" t="s">
        <v>188</v>
      </c>
      <c r="J31" s="27" t="s">
        <v>8</v>
      </c>
      <c r="K31" s="27" t="s">
        <v>8</v>
      </c>
      <c r="L31" s="27" t="s">
        <v>8</v>
      </c>
      <c r="M31" s="27" t="s">
        <v>8</v>
      </c>
      <c r="N31" s="27" t="s">
        <v>8</v>
      </c>
      <c r="O31" s="27" t="s">
        <v>8</v>
      </c>
      <c r="P31" s="27" t="s">
        <v>8</v>
      </c>
      <c r="Q31" s="27" t="s">
        <v>8</v>
      </c>
      <c r="R31" s="27" t="s">
        <v>8</v>
      </c>
      <c r="S31" s="27" t="s">
        <v>8</v>
      </c>
      <c r="T31" s="27" t="s">
        <v>8</v>
      </c>
      <c r="U31" s="27" t="s">
        <v>8</v>
      </c>
      <c r="V31" s="27" t="s">
        <v>6</v>
      </c>
      <c r="W31" s="27" t="s">
        <v>8</v>
      </c>
      <c r="X31" s="27" t="s">
        <v>7</v>
      </c>
      <c r="Y31" s="27" t="s">
        <v>7</v>
      </c>
      <c r="Z31" s="27" t="s">
        <v>7</v>
      </c>
      <c r="AA31" s="27" t="s">
        <v>8</v>
      </c>
      <c r="AB31" s="27" t="s">
        <v>8</v>
      </c>
      <c r="AC31" s="27" t="s">
        <v>8</v>
      </c>
      <c r="AD31" s="27" t="s">
        <v>8</v>
      </c>
      <c r="AE31" s="27" t="s">
        <v>7</v>
      </c>
      <c r="AF31" s="27" t="s">
        <v>8</v>
      </c>
      <c r="AG31" s="27" t="s">
        <v>7</v>
      </c>
      <c r="AH31" s="27" t="s">
        <v>7</v>
      </c>
      <c r="AI31" s="27" t="s">
        <v>7</v>
      </c>
      <c r="AJ31" s="27" t="s">
        <v>8</v>
      </c>
      <c r="AK31" s="27" t="s">
        <v>8</v>
      </c>
      <c r="AL31" s="27" t="s">
        <v>8</v>
      </c>
      <c r="AM31" s="27" t="s">
        <v>7</v>
      </c>
      <c r="AN31" s="27" t="s">
        <v>7</v>
      </c>
      <c r="AO31" s="27" t="s">
        <v>7</v>
      </c>
      <c r="AP31" s="27" t="s">
        <v>8</v>
      </c>
      <c r="AQ31" s="27" t="s">
        <v>7</v>
      </c>
      <c r="AR31" s="27" t="s">
        <v>8</v>
      </c>
      <c r="AS31" s="27" t="s">
        <v>8</v>
      </c>
      <c r="AT31" s="27" t="s">
        <v>7</v>
      </c>
      <c r="AU31" s="27" t="s">
        <v>7</v>
      </c>
      <c r="AV31" s="27">
        <v>9</v>
      </c>
      <c r="AW31" s="27">
        <v>8</v>
      </c>
      <c r="AX31" s="27">
        <v>8</v>
      </c>
      <c r="AY31" s="27">
        <v>9</v>
      </c>
      <c r="AZ31" s="27">
        <v>9</v>
      </c>
      <c r="BA31" s="27">
        <v>9</v>
      </c>
      <c r="BB31" s="27" t="s">
        <v>368</v>
      </c>
      <c r="BC31" s="27" t="s">
        <v>214</v>
      </c>
      <c r="BD31" s="27" t="s">
        <v>369</v>
      </c>
      <c r="BE31" s="27" t="s">
        <v>503</v>
      </c>
      <c r="BF31" s="27" t="s">
        <v>504</v>
      </c>
      <c r="BG31" s="27" t="s">
        <v>505</v>
      </c>
      <c r="BH31" s="11"/>
      <c r="BI31" s="11"/>
      <c r="BJ31" s="11"/>
    </row>
    <row r="32" spans="1:62" ht="15.75" customHeight="1" x14ac:dyDescent="0.2">
      <c r="A32" s="27">
        <v>26</v>
      </c>
      <c r="B32" s="28">
        <v>45742.502323692126</v>
      </c>
      <c r="C32" s="28" t="s">
        <v>791</v>
      </c>
      <c r="D32" s="27" t="s">
        <v>325</v>
      </c>
      <c r="E32" s="27" t="s">
        <v>217</v>
      </c>
      <c r="F32" s="27" t="s">
        <v>200</v>
      </c>
      <c r="G32" s="27" t="s">
        <v>179</v>
      </c>
      <c r="H32" s="27" t="s">
        <v>187</v>
      </c>
      <c r="I32" s="27" t="s">
        <v>208</v>
      </c>
      <c r="J32" s="27" t="s">
        <v>9</v>
      </c>
      <c r="K32" s="27" t="s">
        <v>8</v>
      </c>
      <c r="L32" s="27" t="s">
        <v>8</v>
      </c>
      <c r="M32" s="27" t="s">
        <v>8</v>
      </c>
      <c r="N32" s="27" t="s">
        <v>8</v>
      </c>
      <c r="O32" s="27" t="s">
        <v>8</v>
      </c>
      <c r="P32" s="27" t="s">
        <v>7</v>
      </c>
      <c r="Q32" s="27" t="s">
        <v>7</v>
      </c>
      <c r="R32" s="27" t="s">
        <v>8</v>
      </c>
      <c r="S32" s="30" t="s">
        <v>7</v>
      </c>
      <c r="T32" s="30" t="s">
        <v>7</v>
      </c>
      <c r="U32" s="30" t="s">
        <v>7</v>
      </c>
      <c r="V32" s="30" t="s">
        <v>6</v>
      </c>
      <c r="W32" s="30" t="s">
        <v>7</v>
      </c>
      <c r="X32" s="30" t="s">
        <v>7</v>
      </c>
      <c r="Y32" s="30" t="s">
        <v>7</v>
      </c>
      <c r="Z32" s="30" t="s">
        <v>7</v>
      </c>
      <c r="AA32" s="30" t="s">
        <v>7</v>
      </c>
      <c r="AB32" s="30" t="s">
        <v>7</v>
      </c>
      <c r="AC32" s="30" t="s">
        <v>7</v>
      </c>
      <c r="AD32" s="30" t="s">
        <v>7</v>
      </c>
      <c r="AE32" s="30" t="s">
        <v>8</v>
      </c>
      <c r="AF32" s="30" t="s">
        <v>7</v>
      </c>
      <c r="AG32" s="30" t="s">
        <v>6</v>
      </c>
      <c r="AH32" s="30" t="s">
        <v>5</v>
      </c>
      <c r="AI32" s="30" t="s">
        <v>6</v>
      </c>
      <c r="AJ32" s="30" t="s">
        <v>6</v>
      </c>
      <c r="AK32" s="30" t="s">
        <v>6</v>
      </c>
      <c r="AL32" s="30" t="s">
        <v>7</v>
      </c>
      <c r="AM32" s="27" t="s">
        <v>7</v>
      </c>
      <c r="AN32" s="27" t="s">
        <v>7</v>
      </c>
      <c r="AO32" s="27" t="s">
        <v>7</v>
      </c>
      <c r="AP32" s="27" t="s">
        <v>7</v>
      </c>
      <c r="AQ32" s="27" t="s">
        <v>7</v>
      </c>
      <c r="AR32" s="27" t="s">
        <v>7</v>
      </c>
      <c r="AS32" s="27" t="s">
        <v>7</v>
      </c>
      <c r="AT32" s="27" t="s">
        <v>7</v>
      </c>
      <c r="AU32" s="27" t="s">
        <v>7</v>
      </c>
      <c r="AV32" s="27">
        <v>6</v>
      </c>
      <c r="AW32" s="27">
        <v>6</v>
      </c>
      <c r="AX32" s="27">
        <v>6</v>
      </c>
      <c r="AY32" s="27">
        <v>8</v>
      </c>
      <c r="AZ32" s="27">
        <v>7</v>
      </c>
      <c r="BA32" s="27">
        <v>5</v>
      </c>
      <c r="BB32" s="27" t="s">
        <v>370</v>
      </c>
      <c r="BC32" s="27" t="s">
        <v>195</v>
      </c>
      <c r="BD32" s="27" t="s">
        <v>210</v>
      </c>
      <c r="BE32" s="27" t="s">
        <v>506</v>
      </c>
      <c r="BF32" s="27" t="s">
        <v>507</v>
      </c>
      <c r="BG32" s="27" t="s">
        <v>508</v>
      </c>
      <c r="BH32" s="11"/>
      <c r="BI32" s="11"/>
      <c r="BJ32" s="11"/>
    </row>
    <row r="33" spans="1:62" ht="15.75" customHeight="1" x14ac:dyDescent="0.2">
      <c r="A33" s="27">
        <v>27</v>
      </c>
      <c r="B33" s="28">
        <v>45742.509150949074</v>
      </c>
      <c r="C33" s="28" t="s">
        <v>791</v>
      </c>
      <c r="D33" s="27" t="s">
        <v>249</v>
      </c>
      <c r="E33" s="27" t="s">
        <v>217</v>
      </c>
      <c r="F33" s="27" t="s">
        <v>178</v>
      </c>
      <c r="G33" s="27" t="s">
        <v>201</v>
      </c>
      <c r="H33" s="27" t="s">
        <v>223</v>
      </c>
      <c r="I33" s="27" t="s">
        <v>194</v>
      </c>
      <c r="J33" s="27" t="s">
        <v>9</v>
      </c>
      <c r="K33" s="27" t="s">
        <v>9</v>
      </c>
      <c r="L33" s="27" t="s">
        <v>9</v>
      </c>
      <c r="M33" s="27" t="s">
        <v>9</v>
      </c>
      <c r="N33" s="27" t="s">
        <v>9</v>
      </c>
      <c r="O33" s="27" t="s">
        <v>9</v>
      </c>
      <c r="P33" s="27" t="s">
        <v>8</v>
      </c>
      <c r="Q33" s="27" t="s">
        <v>9</v>
      </c>
      <c r="R33" s="27" t="s">
        <v>9</v>
      </c>
      <c r="S33" s="27" t="s">
        <v>9</v>
      </c>
      <c r="T33" s="27" t="s">
        <v>9</v>
      </c>
      <c r="U33" s="27" t="s">
        <v>9</v>
      </c>
      <c r="V33" s="27" t="s">
        <v>9</v>
      </c>
      <c r="W33" s="27" t="s">
        <v>8</v>
      </c>
      <c r="X33" s="27" t="s">
        <v>9</v>
      </c>
      <c r="Y33" s="27" t="s">
        <v>9</v>
      </c>
      <c r="Z33" s="27" t="s">
        <v>9</v>
      </c>
      <c r="AA33" s="27" t="s">
        <v>9</v>
      </c>
      <c r="AB33" s="27" t="s">
        <v>9</v>
      </c>
      <c r="AC33" s="27" t="s">
        <v>9</v>
      </c>
      <c r="AD33" s="27" t="s">
        <v>8</v>
      </c>
      <c r="AE33" s="27" t="s">
        <v>8</v>
      </c>
      <c r="AF33" s="27" t="s">
        <v>7</v>
      </c>
      <c r="AG33" s="27" t="s">
        <v>7</v>
      </c>
      <c r="AH33" s="27" t="s">
        <v>7</v>
      </c>
      <c r="AI33" s="27" t="s">
        <v>7</v>
      </c>
      <c r="AJ33" s="27" t="s">
        <v>8</v>
      </c>
      <c r="AK33" s="27" t="s">
        <v>9</v>
      </c>
      <c r="AL33" s="27" t="s">
        <v>8</v>
      </c>
      <c r="AM33" s="27" t="s">
        <v>9</v>
      </c>
      <c r="AN33" s="27" t="s">
        <v>9</v>
      </c>
      <c r="AO33" s="27" t="s">
        <v>5</v>
      </c>
      <c r="AP33" s="27" t="s">
        <v>9</v>
      </c>
      <c r="AQ33" s="27" t="s">
        <v>8</v>
      </c>
      <c r="AR33" s="27" t="s">
        <v>9</v>
      </c>
      <c r="AS33" s="27" t="s">
        <v>9</v>
      </c>
      <c r="AT33" s="27" t="s">
        <v>9</v>
      </c>
      <c r="AU33" s="27" t="s">
        <v>9</v>
      </c>
      <c r="AV33" s="27">
        <v>9</v>
      </c>
      <c r="AW33" s="27">
        <v>10</v>
      </c>
      <c r="AX33" s="27">
        <v>10</v>
      </c>
      <c r="AY33" s="27">
        <v>10</v>
      </c>
      <c r="AZ33" s="27">
        <v>8</v>
      </c>
      <c r="BA33" s="27">
        <v>8</v>
      </c>
      <c r="BB33" s="27" t="s">
        <v>209</v>
      </c>
      <c r="BC33" s="27" t="s">
        <v>182</v>
      </c>
      <c r="BD33" s="27" t="s">
        <v>371</v>
      </c>
      <c r="BE33" s="27" t="s">
        <v>509</v>
      </c>
      <c r="BF33" s="27" t="s">
        <v>510</v>
      </c>
      <c r="BG33" s="27" t="s">
        <v>242</v>
      </c>
      <c r="BH33" s="11"/>
      <c r="BI33" s="11"/>
      <c r="BJ33" s="11"/>
    </row>
    <row r="34" spans="1:62" ht="15.75" customHeight="1" x14ac:dyDescent="0.2">
      <c r="A34" s="27">
        <v>28</v>
      </c>
      <c r="B34" s="28">
        <v>45742.513513692131</v>
      </c>
      <c r="C34" s="28" t="s">
        <v>788</v>
      </c>
      <c r="D34" s="27" t="s">
        <v>176</v>
      </c>
      <c r="E34" s="27" t="s">
        <v>185</v>
      </c>
      <c r="F34" s="27" t="s">
        <v>200</v>
      </c>
      <c r="G34" s="27" t="s">
        <v>179</v>
      </c>
      <c r="H34" s="27" t="s">
        <v>187</v>
      </c>
      <c r="I34" s="27" t="s">
        <v>198</v>
      </c>
      <c r="J34" s="27" t="s">
        <v>9</v>
      </c>
      <c r="K34" s="27" t="s">
        <v>9</v>
      </c>
      <c r="L34" s="27" t="s">
        <v>9</v>
      </c>
      <c r="M34" s="27" t="s">
        <v>9</v>
      </c>
      <c r="N34" s="27" t="s">
        <v>9</v>
      </c>
      <c r="O34" s="27" t="s">
        <v>9</v>
      </c>
      <c r="P34" s="27" t="s">
        <v>9</v>
      </c>
      <c r="Q34" s="27" t="s">
        <v>9</v>
      </c>
      <c r="R34" s="27" t="s">
        <v>9</v>
      </c>
      <c r="S34" s="27" t="s">
        <v>9</v>
      </c>
      <c r="T34" s="27" t="s">
        <v>9</v>
      </c>
      <c r="U34" s="27" t="s">
        <v>9</v>
      </c>
      <c r="V34" s="27" t="s">
        <v>9</v>
      </c>
      <c r="W34" s="27" t="s">
        <v>9</v>
      </c>
      <c r="X34" s="27" t="s">
        <v>9</v>
      </c>
      <c r="Y34" s="27" t="s">
        <v>9</v>
      </c>
      <c r="Z34" s="27" t="s">
        <v>9</v>
      </c>
      <c r="AA34" s="27" t="s">
        <v>9</v>
      </c>
      <c r="AB34" s="27" t="s">
        <v>9</v>
      </c>
      <c r="AC34" s="27" t="s">
        <v>9</v>
      </c>
      <c r="AD34" s="27" t="s">
        <v>9</v>
      </c>
      <c r="AE34" s="27" t="s">
        <v>9</v>
      </c>
      <c r="AF34" s="27" t="s">
        <v>8</v>
      </c>
      <c r="AG34" s="27" t="s">
        <v>9</v>
      </c>
      <c r="AH34" s="27" t="s">
        <v>9</v>
      </c>
      <c r="AI34" s="27" t="s">
        <v>9</v>
      </c>
      <c r="AJ34" s="27" t="s">
        <v>9</v>
      </c>
      <c r="AK34" s="27" t="s">
        <v>9</v>
      </c>
      <c r="AL34" s="27" t="s">
        <v>9</v>
      </c>
      <c r="AM34" s="27" t="s">
        <v>9</v>
      </c>
      <c r="AN34" s="27" t="s">
        <v>9</v>
      </c>
      <c r="AO34" s="27" t="s">
        <v>8</v>
      </c>
      <c r="AP34" s="27" t="s">
        <v>9</v>
      </c>
      <c r="AQ34" s="27" t="s">
        <v>8</v>
      </c>
      <c r="AR34" s="27" t="s">
        <v>9</v>
      </c>
      <c r="AS34" s="27" t="s">
        <v>9</v>
      </c>
      <c r="AT34" s="27" t="s">
        <v>9</v>
      </c>
      <c r="AU34" s="27" t="s">
        <v>9</v>
      </c>
      <c r="AV34" s="27">
        <v>10</v>
      </c>
      <c r="AW34" s="27">
        <v>10</v>
      </c>
      <c r="AX34" s="27">
        <v>8</v>
      </c>
      <c r="AY34" s="27">
        <v>10</v>
      </c>
      <c r="AZ34" s="27">
        <v>10</v>
      </c>
      <c r="BA34" s="27">
        <v>10</v>
      </c>
      <c r="BB34" s="27" t="s">
        <v>219</v>
      </c>
      <c r="BC34" s="27" t="s">
        <v>195</v>
      </c>
      <c r="BD34" s="27" t="s">
        <v>210</v>
      </c>
      <c r="BE34" s="27" t="s">
        <v>230</v>
      </c>
      <c r="BF34" s="27" t="s">
        <v>511</v>
      </c>
      <c r="BG34" s="27" t="s">
        <v>512</v>
      </c>
      <c r="BH34" s="11"/>
      <c r="BI34" s="11"/>
      <c r="BJ34" s="11"/>
    </row>
    <row r="35" spans="1:62" ht="15.75" customHeight="1" x14ac:dyDescent="0.2">
      <c r="A35" s="27">
        <v>29</v>
      </c>
      <c r="B35" s="28">
        <v>45742.514770358801</v>
      </c>
      <c r="C35" s="28" t="s">
        <v>790</v>
      </c>
      <c r="D35" s="27" t="s">
        <v>176</v>
      </c>
      <c r="E35" s="27" t="s">
        <v>193</v>
      </c>
      <c r="F35" s="27" t="s">
        <v>205</v>
      </c>
      <c r="G35" s="27" t="s">
        <v>179</v>
      </c>
      <c r="H35" s="27" t="s">
        <v>180</v>
      </c>
      <c r="I35" s="27" t="s">
        <v>198</v>
      </c>
      <c r="J35" s="27" t="s">
        <v>9</v>
      </c>
      <c r="K35" s="27" t="s">
        <v>9</v>
      </c>
      <c r="L35" s="27" t="s">
        <v>8</v>
      </c>
      <c r="M35" s="27" t="s">
        <v>8</v>
      </c>
      <c r="N35" s="27" t="s">
        <v>9</v>
      </c>
      <c r="O35" s="27" t="s">
        <v>9</v>
      </c>
      <c r="P35" s="27" t="s">
        <v>9</v>
      </c>
      <c r="Q35" s="27" t="s">
        <v>9</v>
      </c>
      <c r="R35" s="27" t="s">
        <v>9</v>
      </c>
      <c r="S35" s="27" t="s">
        <v>9</v>
      </c>
      <c r="T35" s="27" t="s">
        <v>9</v>
      </c>
      <c r="U35" s="27" t="s">
        <v>8</v>
      </c>
      <c r="V35" s="27" t="s">
        <v>8</v>
      </c>
      <c r="W35" s="27" t="s">
        <v>9</v>
      </c>
      <c r="X35" s="27" t="s">
        <v>9</v>
      </c>
      <c r="Y35" s="27" t="s">
        <v>8</v>
      </c>
      <c r="Z35" s="27" t="s">
        <v>9</v>
      </c>
      <c r="AA35" s="27" t="s">
        <v>9</v>
      </c>
      <c r="AB35" s="27" t="s">
        <v>9</v>
      </c>
      <c r="AC35" s="27" t="s">
        <v>9</v>
      </c>
      <c r="AD35" s="27" t="s">
        <v>9</v>
      </c>
      <c r="AE35" s="27" t="s">
        <v>9</v>
      </c>
      <c r="AF35" s="27" t="s">
        <v>9</v>
      </c>
      <c r="AG35" s="27" t="s">
        <v>8</v>
      </c>
      <c r="AH35" s="27" t="s">
        <v>8</v>
      </c>
      <c r="AI35" s="27" t="s">
        <v>7</v>
      </c>
      <c r="AJ35" s="27" t="s">
        <v>8</v>
      </c>
      <c r="AK35" s="27" t="s">
        <v>9</v>
      </c>
      <c r="AL35" s="27" t="s">
        <v>9</v>
      </c>
      <c r="AM35" s="27" t="s">
        <v>9</v>
      </c>
      <c r="AN35" s="27" t="s">
        <v>9</v>
      </c>
      <c r="AO35" s="27" t="s">
        <v>9</v>
      </c>
      <c r="AP35" s="27" t="s">
        <v>8</v>
      </c>
      <c r="AQ35" s="27" t="s">
        <v>8</v>
      </c>
      <c r="AR35" s="27" t="s">
        <v>9</v>
      </c>
      <c r="AS35" s="27" t="s">
        <v>9</v>
      </c>
      <c r="AT35" s="27" t="s">
        <v>8</v>
      </c>
      <c r="AU35" s="27" t="s">
        <v>9</v>
      </c>
      <c r="AV35" s="27">
        <v>9</v>
      </c>
      <c r="AW35" s="27">
        <v>8</v>
      </c>
      <c r="AX35" s="27">
        <v>10</v>
      </c>
      <c r="AY35" s="27">
        <v>9</v>
      </c>
      <c r="AZ35" s="27">
        <v>9</v>
      </c>
      <c r="BA35" s="27">
        <v>10</v>
      </c>
      <c r="BB35" s="27" t="s">
        <v>258</v>
      </c>
      <c r="BC35" s="27" t="s">
        <v>182</v>
      </c>
      <c r="BD35" s="27" t="s">
        <v>372</v>
      </c>
      <c r="BE35" s="27" t="s">
        <v>513</v>
      </c>
      <c r="BF35" s="27" t="s">
        <v>514</v>
      </c>
      <c r="BG35" s="27" t="s">
        <v>515</v>
      </c>
      <c r="BH35" s="11"/>
      <c r="BI35" s="11"/>
      <c r="BJ35" s="11"/>
    </row>
    <row r="36" spans="1:62" ht="15.75" customHeight="1" x14ac:dyDescent="0.2">
      <c r="A36" s="27">
        <v>30</v>
      </c>
      <c r="B36" s="28">
        <v>45742.516040972223</v>
      </c>
      <c r="C36" s="28" t="s">
        <v>788</v>
      </c>
      <c r="D36" s="27" t="s">
        <v>176</v>
      </c>
      <c r="E36" s="27" t="s">
        <v>177</v>
      </c>
      <c r="F36" s="27" t="s">
        <v>200</v>
      </c>
      <c r="G36" s="27" t="s">
        <v>201</v>
      </c>
      <c r="H36" s="27" t="s">
        <v>187</v>
      </c>
      <c r="I36" s="27" t="s">
        <v>198</v>
      </c>
      <c r="J36" s="27" t="s">
        <v>8</v>
      </c>
      <c r="K36" s="27" t="s">
        <v>8</v>
      </c>
      <c r="L36" s="27" t="s">
        <v>8</v>
      </c>
      <c r="M36" s="27" t="s">
        <v>8</v>
      </c>
      <c r="N36" s="27" t="s">
        <v>9</v>
      </c>
      <c r="O36" s="27" t="s">
        <v>8</v>
      </c>
      <c r="P36" s="27" t="s">
        <v>8</v>
      </c>
      <c r="Q36" s="27" t="s">
        <v>8</v>
      </c>
      <c r="R36" s="27" t="s">
        <v>8</v>
      </c>
      <c r="S36" s="27" t="s">
        <v>8</v>
      </c>
      <c r="T36" s="27" t="s">
        <v>9</v>
      </c>
      <c r="U36" s="27" t="s">
        <v>7</v>
      </c>
      <c r="V36" s="27" t="s">
        <v>8</v>
      </c>
      <c r="W36" s="27" t="s">
        <v>8</v>
      </c>
      <c r="X36" s="27" t="s">
        <v>8</v>
      </c>
      <c r="Y36" s="27" t="s">
        <v>8</v>
      </c>
      <c r="Z36" s="27" t="s">
        <v>9</v>
      </c>
      <c r="AA36" s="27" t="s">
        <v>8</v>
      </c>
      <c r="AB36" s="27" t="s">
        <v>8</v>
      </c>
      <c r="AC36" s="27" t="s">
        <v>8</v>
      </c>
      <c r="AD36" s="27" t="s">
        <v>8</v>
      </c>
      <c r="AE36" s="27" t="s">
        <v>8</v>
      </c>
      <c r="AF36" s="27" t="s">
        <v>8</v>
      </c>
      <c r="AG36" s="27" t="s">
        <v>7</v>
      </c>
      <c r="AH36" s="27" t="s">
        <v>7</v>
      </c>
      <c r="AI36" s="27" t="s">
        <v>7</v>
      </c>
      <c r="AJ36" s="27" t="s">
        <v>8</v>
      </c>
      <c r="AK36" s="27" t="s">
        <v>8</v>
      </c>
      <c r="AL36" s="27" t="s">
        <v>8</v>
      </c>
      <c r="AM36" s="27" t="s">
        <v>8</v>
      </c>
      <c r="AN36" s="27" t="s">
        <v>8</v>
      </c>
      <c r="AO36" s="27" t="s">
        <v>7</v>
      </c>
      <c r="AP36" s="27" t="s">
        <v>8</v>
      </c>
      <c r="AQ36" s="27" t="s">
        <v>7</v>
      </c>
      <c r="AR36" s="27" t="s">
        <v>8</v>
      </c>
      <c r="AS36" s="27" t="s">
        <v>8</v>
      </c>
      <c r="AT36" s="27" t="s">
        <v>8</v>
      </c>
      <c r="AU36" s="27" t="s">
        <v>8</v>
      </c>
      <c r="AV36" s="27">
        <v>9</v>
      </c>
      <c r="AW36" s="27">
        <v>9</v>
      </c>
      <c r="AX36" s="27">
        <v>9</v>
      </c>
      <c r="AY36" s="27">
        <v>9</v>
      </c>
      <c r="AZ36" s="27">
        <v>9</v>
      </c>
      <c r="BA36" s="27">
        <v>9</v>
      </c>
      <c r="BB36" s="27" t="s">
        <v>373</v>
      </c>
      <c r="BC36" s="27" t="s">
        <v>214</v>
      </c>
      <c r="BD36" s="27" t="s">
        <v>183</v>
      </c>
      <c r="BE36" s="27" t="s">
        <v>516</v>
      </c>
      <c r="BF36" s="27" t="s">
        <v>517</v>
      </c>
      <c r="BG36" s="27" t="s">
        <v>242</v>
      </c>
      <c r="BH36" s="11"/>
      <c r="BI36" s="11"/>
      <c r="BJ36" s="11"/>
    </row>
    <row r="37" spans="1:62" ht="15.75" customHeight="1" x14ac:dyDescent="0.2">
      <c r="A37" s="27">
        <v>31</v>
      </c>
      <c r="B37" s="28">
        <v>45742.517555081024</v>
      </c>
      <c r="C37" s="28" t="s">
        <v>790</v>
      </c>
      <c r="D37" s="27" t="s">
        <v>176</v>
      </c>
      <c r="E37" s="27" t="s">
        <v>177</v>
      </c>
      <c r="F37" s="27" t="s">
        <v>200</v>
      </c>
      <c r="G37" s="27" t="s">
        <v>201</v>
      </c>
      <c r="H37" s="27" t="s">
        <v>187</v>
      </c>
      <c r="I37" s="27" t="s">
        <v>181</v>
      </c>
      <c r="J37" s="27" t="s">
        <v>8</v>
      </c>
      <c r="K37" s="27" t="s">
        <v>7</v>
      </c>
      <c r="L37" s="27" t="s">
        <v>9</v>
      </c>
      <c r="M37" s="27" t="s">
        <v>7</v>
      </c>
      <c r="N37" s="27" t="s">
        <v>7</v>
      </c>
      <c r="O37" s="27" t="s">
        <v>8</v>
      </c>
      <c r="P37" s="27" t="s">
        <v>6</v>
      </c>
      <c r="Q37" s="27" t="s">
        <v>7</v>
      </c>
      <c r="R37" s="27" t="s">
        <v>8</v>
      </c>
      <c r="S37" s="27" t="s">
        <v>8</v>
      </c>
      <c r="T37" s="27" t="s">
        <v>8</v>
      </c>
      <c r="U37" s="27" t="s">
        <v>7</v>
      </c>
      <c r="V37" s="27" t="s">
        <v>6</v>
      </c>
      <c r="W37" s="27" t="s">
        <v>8</v>
      </c>
      <c r="X37" s="27" t="s">
        <v>6</v>
      </c>
      <c r="Y37" s="27" t="s">
        <v>6</v>
      </c>
      <c r="Z37" s="27" t="s">
        <v>8</v>
      </c>
      <c r="AA37" s="27" t="s">
        <v>8</v>
      </c>
      <c r="AB37" s="27" t="s">
        <v>8</v>
      </c>
      <c r="AC37" s="27" t="s">
        <v>8</v>
      </c>
      <c r="AD37" s="27" t="s">
        <v>8</v>
      </c>
      <c r="AE37" s="27" t="s">
        <v>8</v>
      </c>
      <c r="AF37" s="27" t="s">
        <v>8</v>
      </c>
      <c r="AG37" s="27" t="s">
        <v>7</v>
      </c>
      <c r="AH37" s="27" t="s">
        <v>7</v>
      </c>
      <c r="AI37" s="27" t="s">
        <v>6</v>
      </c>
      <c r="AJ37" s="27" t="s">
        <v>8</v>
      </c>
      <c r="AK37" s="27" t="s">
        <v>7</v>
      </c>
      <c r="AL37" s="27" t="s">
        <v>8</v>
      </c>
      <c r="AM37" s="27" t="s">
        <v>8</v>
      </c>
      <c r="AN37" s="27" t="s">
        <v>6</v>
      </c>
      <c r="AO37" s="27" t="s">
        <v>8</v>
      </c>
      <c r="AP37" s="27" t="s">
        <v>9</v>
      </c>
      <c r="AQ37" s="27" t="s">
        <v>7</v>
      </c>
      <c r="AR37" s="27" t="s">
        <v>8</v>
      </c>
      <c r="AS37" s="27" t="s">
        <v>8</v>
      </c>
      <c r="AT37" s="27" t="s">
        <v>8</v>
      </c>
      <c r="AU37" s="27" t="s">
        <v>8</v>
      </c>
      <c r="AV37" s="27">
        <v>8</v>
      </c>
      <c r="AW37" s="27">
        <v>4</v>
      </c>
      <c r="AX37" s="27">
        <v>8</v>
      </c>
      <c r="AY37" s="27">
        <v>9</v>
      </c>
      <c r="AZ37" s="27">
        <v>4</v>
      </c>
      <c r="BA37" s="27">
        <v>9</v>
      </c>
      <c r="BB37" s="27" t="s">
        <v>374</v>
      </c>
      <c r="BC37" s="27" t="s">
        <v>190</v>
      </c>
      <c r="BD37" s="27" t="s">
        <v>235</v>
      </c>
      <c r="BE37" s="27" t="s">
        <v>518</v>
      </c>
      <c r="BF37" s="27" t="s">
        <v>519</v>
      </c>
      <c r="BG37" s="27" t="s">
        <v>520</v>
      </c>
      <c r="BH37" s="11"/>
      <c r="BI37" s="11"/>
      <c r="BJ37" s="11"/>
    </row>
    <row r="38" spans="1:62" ht="15.75" customHeight="1" x14ac:dyDescent="0.2">
      <c r="A38" s="27">
        <v>32</v>
      </c>
      <c r="B38" s="28">
        <v>45742.519064305554</v>
      </c>
      <c r="C38" s="28" t="s">
        <v>790</v>
      </c>
      <c r="D38" s="27" t="s">
        <v>324</v>
      </c>
      <c r="E38" s="27" t="s">
        <v>217</v>
      </c>
      <c r="F38" s="27" t="s">
        <v>178</v>
      </c>
      <c r="G38" s="27" t="s">
        <v>201</v>
      </c>
      <c r="H38" s="27" t="s">
        <v>187</v>
      </c>
      <c r="I38" s="27" t="s">
        <v>194</v>
      </c>
      <c r="J38" s="27" t="s">
        <v>8</v>
      </c>
      <c r="K38" s="27" t="s">
        <v>8</v>
      </c>
      <c r="L38" s="27" t="s">
        <v>8</v>
      </c>
      <c r="M38" s="27" t="s">
        <v>7</v>
      </c>
      <c r="N38" s="27" t="s">
        <v>8</v>
      </c>
      <c r="O38" s="27" t="s">
        <v>8</v>
      </c>
      <c r="P38" s="27" t="s">
        <v>9</v>
      </c>
      <c r="Q38" s="27" t="s">
        <v>8</v>
      </c>
      <c r="R38" s="27" t="s">
        <v>8</v>
      </c>
      <c r="S38" s="27" t="s">
        <v>8</v>
      </c>
      <c r="T38" s="27" t="s">
        <v>8</v>
      </c>
      <c r="U38" s="27" t="s">
        <v>7</v>
      </c>
      <c r="V38" s="27" t="s">
        <v>7</v>
      </c>
      <c r="W38" s="27" t="s">
        <v>8</v>
      </c>
      <c r="X38" s="27" t="s">
        <v>8</v>
      </c>
      <c r="Y38" s="27" t="s">
        <v>8</v>
      </c>
      <c r="Z38" s="27" t="s">
        <v>8</v>
      </c>
      <c r="AA38" s="27" t="s">
        <v>8</v>
      </c>
      <c r="AB38" s="27" t="s">
        <v>7</v>
      </c>
      <c r="AC38" s="27" t="s">
        <v>8</v>
      </c>
      <c r="AD38" s="27" t="s">
        <v>9</v>
      </c>
      <c r="AE38" s="27" t="s">
        <v>9</v>
      </c>
      <c r="AF38" s="27" t="s">
        <v>8</v>
      </c>
      <c r="AG38" s="27" t="s">
        <v>8</v>
      </c>
      <c r="AH38" s="27" t="s">
        <v>6</v>
      </c>
      <c r="AI38" s="27" t="s">
        <v>6</v>
      </c>
      <c r="AJ38" s="27" t="s">
        <v>8</v>
      </c>
      <c r="AK38" s="27" t="s">
        <v>8</v>
      </c>
      <c r="AL38" s="27" t="s">
        <v>8</v>
      </c>
      <c r="AM38" s="27" t="s">
        <v>8</v>
      </c>
      <c r="AN38" s="27" t="s">
        <v>8</v>
      </c>
      <c r="AO38" s="27" t="s">
        <v>8</v>
      </c>
      <c r="AP38" s="27" t="s">
        <v>8</v>
      </c>
      <c r="AQ38" s="27" t="s">
        <v>8</v>
      </c>
      <c r="AR38" s="27" t="s">
        <v>8</v>
      </c>
      <c r="AS38" s="27" t="s">
        <v>8</v>
      </c>
      <c r="AT38" s="27" t="s">
        <v>8</v>
      </c>
      <c r="AU38" s="27" t="s">
        <v>9</v>
      </c>
      <c r="AV38" s="27">
        <v>8</v>
      </c>
      <c r="AW38" s="27">
        <v>9</v>
      </c>
      <c r="AX38" s="27">
        <v>9</v>
      </c>
      <c r="AY38" s="27">
        <v>10</v>
      </c>
      <c r="AZ38" s="27">
        <v>10</v>
      </c>
      <c r="BA38" s="27">
        <v>9</v>
      </c>
      <c r="BB38" s="27" t="s">
        <v>199</v>
      </c>
      <c r="BC38" s="27" t="s">
        <v>211</v>
      </c>
      <c r="BD38" s="27" t="s">
        <v>233</v>
      </c>
      <c r="BE38" s="27" t="s">
        <v>521</v>
      </c>
      <c r="BF38" s="27" t="s">
        <v>522</v>
      </c>
      <c r="BG38" s="27" t="s">
        <v>523</v>
      </c>
      <c r="BH38" s="11"/>
      <c r="BI38" s="11"/>
      <c r="BJ38" s="11"/>
    </row>
    <row r="39" spans="1:62" ht="15.75" customHeight="1" x14ac:dyDescent="0.2">
      <c r="A39" s="27">
        <v>33</v>
      </c>
      <c r="B39" s="28">
        <v>45742.519935613425</v>
      </c>
      <c r="C39" s="28" t="s">
        <v>790</v>
      </c>
      <c r="D39" s="27" t="s">
        <v>249</v>
      </c>
      <c r="E39" s="27" t="s">
        <v>250</v>
      </c>
      <c r="F39" s="27" t="s">
        <v>186</v>
      </c>
      <c r="G39" s="27" t="s">
        <v>201</v>
      </c>
      <c r="H39" s="27" t="s">
        <v>187</v>
      </c>
      <c r="I39" s="27" t="s">
        <v>208</v>
      </c>
      <c r="J39" s="27" t="s">
        <v>8</v>
      </c>
      <c r="K39" s="27" t="s">
        <v>9</v>
      </c>
      <c r="L39" s="27" t="s">
        <v>9</v>
      </c>
      <c r="M39" s="27" t="s">
        <v>8</v>
      </c>
      <c r="N39" s="27" t="s">
        <v>8</v>
      </c>
      <c r="O39" s="27" t="s">
        <v>8</v>
      </c>
      <c r="P39" s="27" t="s">
        <v>8</v>
      </c>
      <c r="Q39" s="27" t="s">
        <v>8</v>
      </c>
      <c r="R39" s="27" t="s">
        <v>8</v>
      </c>
      <c r="S39" s="27" t="s">
        <v>8</v>
      </c>
      <c r="T39" s="27" t="s">
        <v>8</v>
      </c>
      <c r="U39" s="27" t="s">
        <v>9</v>
      </c>
      <c r="V39" s="27" t="s">
        <v>8</v>
      </c>
      <c r="W39" s="27" t="s">
        <v>8</v>
      </c>
      <c r="X39" s="27" t="s">
        <v>8</v>
      </c>
      <c r="Y39" s="27" t="s">
        <v>8</v>
      </c>
      <c r="Z39" s="27" t="s">
        <v>8</v>
      </c>
      <c r="AA39" s="27" t="s">
        <v>8</v>
      </c>
      <c r="AB39" s="27" t="s">
        <v>8</v>
      </c>
      <c r="AC39" s="27" t="s">
        <v>8</v>
      </c>
      <c r="AD39" s="27" t="s">
        <v>8</v>
      </c>
      <c r="AE39" s="27" t="s">
        <v>8</v>
      </c>
      <c r="AF39" s="27" t="s">
        <v>8</v>
      </c>
      <c r="AG39" s="27" t="s">
        <v>8</v>
      </c>
      <c r="AH39" s="27" t="s">
        <v>8</v>
      </c>
      <c r="AI39" s="27" t="s">
        <v>8</v>
      </c>
      <c r="AJ39" s="27" t="s">
        <v>8</v>
      </c>
      <c r="AK39" s="27" t="s">
        <v>8</v>
      </c>
      <c r="AL39" s="27" t="s">
        <v>8</v>
      </c>
      <c r="AM39" s="27" t="s">
        <v>8</v>
      </c>
      <c r="AN39" s="27" t="s">
        <v>7</v>
      </c>
      <c r="AO39" s="27" t="s">
        <v>7</v>
      </c>
      <c r="AP39" s="27" t="s">
        <v>8</v>
      </c>
      <c r="AQ39" s="27" t="s">
        <v>7</v>
      </c>
      <c r="AR39" s="27" t="s">
        <v>8</v>
      </c>
      <c r="AS39" s="27" t="s">
        <v>8</v>
      </c>
      <c r="AT39" s="27" t="s">
        <v>8</v>
      </c>
      <c r="AU39" s="27" t="s">
        <v>8</v>
      </c>
      <c r="AV39" s="27">
        <v>8</v>
      </c>
      <c r="AW39" s="27">
        <v>7</v>
      </c>
      <c r="AX39" s="27">
        <v>8</v>
      </c>
      <c r="AY39" s="27">
        <v>8</v>
      </c>
      <c r="AZ39" s="27">
        <v>7</v>
      </c>
      <c r="BA39" s="27">
        <v>8</v>
      </c>
      <c r="BB39" s="27" t="s">
        <v>227</v>
      </c>
      <c r="BC39" s="27" t="s">
        <v>195</v>
      </c>
      <c r="BD39" s="27" t="s">
        <v>196</v>
      </c>
      <c r="BE39" s="27" t="s">
        <v>524</v>
      </c>
      <c r="BF39" s="27" t="s">
        <v>525</v>
      </c>
      <c r="BG39" s="27" t="s">
        <v>526</v>
      </c>
      <c r="BH39" s="11"/>
      <c r="BI39" s="11"/>
      <c r="BJ39" s="11"/>
    </row>
    <row r="40" spans="1:62" ht="15.75" customHeight="1" x14ac:dyDescent="0.2">
      <c r="A40" s="27">
        <v>34</v>
      </c>
      <c r="B40" s="28">
        <v>45742.520473460652</v>
      </c>
      <c r="C40" s="28" t="s">
        <v>790</v>
      </c>
      <c r="D40" s="27" t="s">
        <v>212</v>
      </c>
      <c r="E40" s="27" t="s">
        <v>177</v>
      </c>
      <c r="F40" s="27" t="s">
        <v>200</v>
      </c>
      <c r="G40" s="27" t="s">
        <v>201</v>
      </c>
      <c r="H40" s="27" t="s">
        <v>187</v>
      </c>
      <c r="I40" s="27" t="s">
        <v>194</v>
      </c>
      <c r="J40" s="27" t="s">
        <v>8</v>
      </c>
      <c r="K40" s="27" t="s">
        <v>8</v>
      </c>
      <c r="L40" s="27" t="s">
        <v>9</v>
      </c>
      <c r="M40" s="27" t="s">
        <v>9</v>
      </c>
      <c r="N40" s="27" t="s">
        <v>9</v>
      </c>
      <c r="O40" s="27" t="s">
        <v>9</v>
      </c>
      <c r="P40" s="27" t="s">
        <v>9</v>
      </c>
      <c r="Q40" s="27" t="s">
        <v>8</v>
      </c>
      <c r="R40" s="27" t="s">
        <v>8</v>
      </c>
      <c r="S40" s="27" t="s">
        <v>7</v>
      </c>
      <c r="T40" s="27" t="s">
        <v>9</v>
      </c>
      <c r="U40" s="27" t="s">
        <v>8</v>
      </c>
      <c r="V40" s="27" t="s">
        <v>6</v>
      </c>
      <c r="W40" s="27" t="s">
        <v>9</v>
      </c>
      <c r="X40" s="27" t="s">
        <v>8</v>
      </c>
      <c r="Y40" s="27" t="s">
        <v>8</v>
      </c>
      <c r="Z40" s="27" t="s">
        <v>8</v>
      </c>
      <c r="AA40" s="27" t="s">
        <v>8</v>
      </c>
      <c r="AB40" s="27" t="s">
        <v>8</v>
      </c>
      <c r="AC40" s="27" t="s">
        <v>8</v>
      </c>
      <c r="AD40" s="27" t="s">
        <v>9</v>
      </c>
      <c r="AE40" s="27" t="s">
        <v>9</v>
      </c>
      <c r="AF40" s="27" t="s">
        <v>9</v>
      </c>
      <c r="AG40" s="27" t="s">
        <v>6</v>
      </c>
      <c r="AH40" s="27" t="s">
        <v>8</v>
      </c>
      <c r="AI40" s="27" t="s">
        <v>8</v>
      </c>
      <c r="AJ40" s="27" t="s">
        <v>9</v>
      </c>
      <c r="AK40" s="27" t="s">
        <v>9</v>
      </c>
      <c r="AL40" s="27" t="s">
        <v>8</v>
      </c>
      <c r="AM40" s="27" t="s">
        <v>8</v>
      </c>
      <c r="AN40" s="27" t="s">
        <v>8</v>
      </c>
      <c r="AO40" s="27" t="s">
        <v>8</v>
      </c>
      <c r="AP40" s="27" t="s">
        <v>8</v>
      </c>
      <c r="AQ40" s="27" t="s">
        <v>8</v>
      </c>
      <c r="AR40" s="27" t="s">
        <v>8</v>
      </c>
      <c r="AS40" s="27" t="s">
        <v>8</v>
      </c>
      <c r="AT40" s="27" t="s">
        <v>8</v>
      </c>
      <c r="AU40" s="27" t="s">
        <v>8</v>
      </c>
      <c r="AV40" s="27">
        <v>7</v>
      </c>
      <c r="AW40" s="27">
        <v>7</v>
      </c>
      <c r="AX40" s="27">
        <v>7</v>
      </c>
      <c r="AY40" s="27">
        <v>10</v>
      </c>
      <c r="AZ40" s="27">
        <v>7</v>
      </c>
      <c r="BA40" s="27">
        <v>6</v>
      </c>
      <c r="BB40" s="27" t="s">
        <v>199</v>
      </c>
      <c r="BC40" s="27" t="s">
        <v>214</v>
      </c>
      <c r="BD40" s="27" t="s">
        <v>207</v>
      </c>
      <c r="BE40" s="27" t="s">
        <v>527</v>
      </c>
      <c r="BF40" s="27" t="s">
        <v>204</v>
      </c>
      <c r="BG40" s="27" t="s">
        <v>528</v>
      </c>
      <c r="BH40" s="11"/>
      <c r="BI40" s="11"/>
      <c r="BJ40" s="11"/>
    </row>
    <row r="41" spans="1:62" ht="15.75" customHeight="1" x14ac:dyDescent="0.2">
      <c r="A41" s="27">
        <v>35</v>
      </c>
      <c r="B41" s="28">
        <v>45742.520720104163</v>
      </c>
      <c r="C41" s="28" t="s">
        <v>791</v>
      </c>
      <c r="D41" s="27" t="s">
        <v>249</v>
      </c>
      <c r="E41" s="27" t="s">
        <v>236</v>
      </c>
      <c r="F41" s="27" t="s">
        <v>200</v>
      </c>
      <c r="G41" s="27" t="s">
        <v>179</v>
      </c>
      <c r="H41" s="27" t="s">
        <v>187</v>
      </c>
      <c r="I41" s="27" t="s">
        <v>194</v>
      </c>
      <c r="J41" s="27" t="s">
        <v>9</v>
      </c>
      <c r="K41" s="27" t="s">
        <v>9</v>
      </c>
      <c r="L41" s="27" t="s">
        <v>9</v>
      </c>
      <c r="M41" s="27" t="s">
        <v>9</v>
      </c>
      <c r="N41" s="27" t="s">
        <v>9</v>
      </c>
      <c r="O41" s="27" t="s">
        <v>9</v>
      </c>
      <c r="P41" s="27" t="s">
        <v>9</v>
      </c>
      <c r="Q41" s="27" t="s">
        <v>9</v>
      </c>
      <c r="R41" s="27" t="s">
        <v>9</v>
      </c>
      <c r="S41" s="27" t="s">
        <v>9</v>
      </c>
      <c r="T41" s="27" t="s">
        <v>9</v>
      </c>
      <c r="U41" s="27" t="s">
        <v>8</v>
      </c>
      <c r="V41" s="27" t="s">
        <v>8</v>
      </c>
      <c r="W41" s="27" t="s">
        <v>8</v>
      </c>
      <c r="X41" s="27" t="s">
        <v>9</v>
      </c>
      <c r="Y41" s="27" t="s">
        <v>8</v>
      </c>
      <c r="Z41" s="27" t="s">
        <v>9</v>
      </c>
      <c r="AA41" s="27" t="s">
        <v>9</v>
      </c>
      <c r="AB41" s="27" t="s">
        <v>9</v>
      </c>
      <c r="AC41" s="27" t="s">
        <v>9</v>
      </c>
      <c r="AD41" s="27" t="s">
        <v>9</v>
      </c>
      <c r="AE41" s="27" t="s">
        <v>9</v>
      </c>
      <c r="AF41" s="27" t="s">
        <v>7</v>
      </c>
      <c r="AG41" s="27" t="s">
        <v>7</v>
      </c>
      <c r="AH41" s="27" t="s">
        <v>6</v>
      </c>
      <c r="AI41" s="27" t="s">
        <v>6</v>
      </c>
      <c r="AJ41" s="27" t="s">
        <v>9</v>
      </c>
      <c r="AK41" s="27" t="s">
        <v>9</v>
      </c>
      <c r="AL41" s="27" t="s">
        <v>9</v>
      </c>
      <c r="AM41" s="27" t="s">
        <v>9</v>
      </c>
      <c r="AN41" s="27" t="s">
        <v>7</v>
      </c>
      <c r="AO41" s="27" t="s">
        <v>7</v>
      </c>
      <c r="AP41" s="27" t="s">
        <v>9</v>
      </c>
      <c r="AQ41" s="27" t="s">
        <v>9</v>
      </c>
      <c r="AR41" s="27" t="s">
        <v>9</v>
      </c>
      <c r="AS41" s="27" t="s">
        <v>9</v>
      </c>
      <c r="AT41" s="27" t="s">
        <v>7</v>
      </c>
      <c r="AU41" s="27" t="s">
        <v>9</v>
      </c>
      <c r="AV41" s="27">
        <v>7</v>
      </c>
      <c r="AW41" s="27">
        <v>10</v>
      </c>
      <c r="AX41" s="27">
        <v>10</v>
      </c>
      <c r="AY41" s="27">
        <v>10</v>
      </c>
      <c r="AZ41" s="27">
        <v>8</v>
      </c>
      <c r="BA41" s="27">
        <v>8</v>
      </c>
      <c r="BB41" s="27" t="s">
        <v>189</v>
      </c>
      <c r="BC41" s="27" t="s">
        <v>182</v>
      </c>
      <c r="BD41" s="27" t="s">
        <v>375</v>
      </c>
      <c r="BE41" s="27" t="s">
        <v>264</v>
      </c>
      <c r="BF41" s="27" t="s">
        <v>529</v>
      </c>
      <c r="BG41" s="27" t="s">
        <v>530</v>
      </c>
      <c r="BH41" s="11"/>
      <c r="BI41" s="11"/>
      <c r="BJ41" s="11"/>
    </row>
    <row r="42" spans="1:62" ht="15.75" customHeight="1" x14ac:dyDescent="0.2">
      <c r="A42" s="27">
        <v>36</v>
      </c>
      <c r="B42" s="28">
        <v>45742.521650046299</v>
      </c>
      <c r="C42" s="28" t="s">
        <v>788</v>
      </c>
      <c r="D42" s="27" t="s">
        <v>176</v>
      </c>
      <c r="E42" s="27" t="s">
        <v>177</v>
      </c>
      <c r="F42" s="27" t="s">
        <v>200</v>
      </c>
      <c r="G42" s="27" t="s">
        <v>201</v>
      </c>
      <c r="H42" s="27" t="s">
        <v>187</v>
      </c>
      <c r="I42" s="27" t="s">
        <v>194</v>
      </c>
      <c r="J42" s="27" t="s">
        <v>8</v>
      </c>
      <c r="K42" s="27" t="s">
        <v>7</v>
      </c>
      <c r="L42" s="27" t="s">
        <v>8</v>
      </c>
      <c r="M42" s="27" t="s">
        <v>7</v>
      </c>
      <c r="N42" s="27" t="s">
        <v>8</v>
      </c>
      <c r="O42" s="27" t="s">
        <v>8</v>
      </c>
      <c r="P42" s="27" t="s">
        <v>8</v>
      </c>
      <c r="Q42" s="27" t="s">
        <v>8</v>
      </c>
      <c r="R42" s="27" t="s">
        <v>8</v>
      </c>
      <c r="S42" s="27" t="s">
        <v>8</v>
      </c>
      <c r="T42" s="27" t="s">
        <v>8</v>
      </c>
      <c r="U42" s="27" t="s">
        <v>7</v>
      </c>
      <c r="V42" s="27" t="s">
        <v>6</v>
      </c>
      <c r="W42" s="27" t="s">
        <v>6</v>
      </c>
      <c r="X42" s="27" t="s">
        <v>7</v>
      </c>
      <c r="Y42" s="27" t="s">
        <v>6</v>
      </c>
      <c r="Z42" s="27" t="s">
        <v>8</v>
      </c>
      <c r="AA42" s="27" t="s">
        <v>8</v>
      </c>
      <c r="AB42" s="27" t="s">
        <v>7</v>
      </c>
      <c r="AC42" s="27" t="s">
        <v>8</v>
      </c>
      <c r="AD42" s="27" t="s">
        <v>8</v>
      </c>
      <c r="AE42" s="27" t="s">
        <v>8</v>
      </c>
      <c r="AF42" s="27" t="s">
        <v>7</v>
      </c>
      <c r="AG42" s="27" t="s">
        <v>6</v>
      </c>
      <c r="AH42" s="27" t="s">
        <v>6</v>
      </c>
      <c r="AI42" s="27" t="s">
        <v>6</v>
      </c>
      <c r="AJ42" s="27" t="s">
        <v>7</v>
      </c>
      <c r="AK42" s="27" t="s">
        <v>7</v>
      </c>
      <c r="AL42" s="27" t="s">
        <v>8</v>
      </c>
      <c r="AM42" s="27" t="s">
        <v>7</v>
      </c>
      <c r="AN42" s="27" t="s">
        <v>6</v>
      </c>
      <c r="AO42" s="27" t="s">
        <v>5</v>
      </c>
      <c r="AP42" s="27" t="s">
        <v>8</v>
      </c>
      <c r="AQ42" s="27" t="s">
        <v>6</v>
      </c>
      <c r="AR42" s="27" t="s">
        <v>8</v>
      </c>
      <c r="AS42" s="27" t="s">
        <v>7</v>
      </c>
      <c r="AT42" s="27" t="s">
        <v>7</v>
      </c>
      <c r="AU42" s="27" t="s">
        <v>7</v>
      </c>
      <c r="AV42" s="27">
        <v>7</v>
      </c>
      <c r="AW42" s="27">
        <v>5</v>
      </c>
      <c r="AX42" s="27">
        <v>9</v>
      </c>
      <c r="AY42" s="27">
        <v>8</v>
      </c>
      <c r="AZ42" s="27">
        <v>5</v>
      </c>
      <c r="BA42" s="27">
        <v>5</v>
      </c>
      <c r="BB42" s="27" t="s">
        <v>376</v>
      </c>
      <c r="BC42" s="27" t="s">
        <v>248</v>
      </c>
      <c r="BD42" s="27" t="s">
        <v>183</v>
      </c>
      <c r="BE42" s="27" t="s">
        <v>31</v>
      </c>
      <c r="BF42" s="27" t="s">
        <v>531</v>
      </c>
      <c r="BG42" s="27" t="s">
        <v>532</v>
      </c>
      <c r="BH42" s="11"/>
      <c r="BI42" s="11"/>
      <c r="BJ42" s="11"/>
    </row>
    <row r="43" spans="1:62" ht="15.75" customHeight="1" x14ac:dyDescent="0.2">
      <c r="A43" s="27">
        <v>37</v>
      </c>
      <c r="B43" s="28">
        <v>45742.523952962962</v>
      </c>
      <c r="C43" s="28" t="s">
        <v>790</v>
      </c>
      <c r="D43" s="27" t="s">
        <v>176</v>
      </c>
      <c r="E43" s="27" t="s">
        <v>177</v>
      </c>
      <c r="F43" s="27" t="s">
        <v>200</v>
      </c>
      <c r="G43" s="27" t="s">
        <v>201</v>
      </c>
      <c r="H43" s="27" t="s">
        <v>187</v>
      </c>
      <c r="I43" s="27" t="s">
        <v>181</v>
      </c>
      <c r="J43" s="27" t="s">
        <v>8</v>
      </c>
      <c r="K43" s="27" t="s">
        <v>8</v>
      </c>
      <c r="L43" s="27" t="s">
        <v>9</v>
      </c>
      <c r="M43" s="27" t="s">
        <v>9</v>
      </c>
      <c r="N43" s="27" t="s">
        <v>8</v>
      </c>
      <c r="O43" s="27" t="s">
        <v>8</v>
      </c>
      <c r="P43" s="27" t="s">
        <v>8</v>
      </c>
      <c r="Q43" s="27" t="s">
        <v>8</v>
      </c>
      <c r="R43" s="27" t="s">
        <v>8</v>
      </c>
      <c r="S43" s="27" t="s">
        <v>8</v>
      </c>
      <c r="T43" s="27" t="s">
        <v>8</v>
      </c>
      <c r="U43" s="27" t="s">
        <v>7</v>
      </c>
      <c r="V43" s="27" t="s">
        <v>6</v>
      </c>
      <c r="W43" s="27" t="s">
        <v>7</v>
      </c>
      <c r="X43" s="27" t="s">
        <v>7</v>
      </c>
      <c r="Y43" s="27" t="s">
        <v>7</v>
      </c>
      <c r="Z43" s="27" t="s">
        <v>8</v>
      </c>
      <c r="AA43" s="27" t="s">
        <v>8</v>
      </c>
      <c r="AB43" s="27" t="s">
        <v>7</v>
      </c>
      <c r="AC43" s="27" t="s">
        <v>9</v>
      </c>
      <c r="AD43" s="27" t="s">
        <v>8</v>
      </c>
      <c r="AE43" s="27" t="s">
        <v>8</v>
      </c>
      <c r="AF43" s="27" t="s">
        <v>8</v>
      </c>
      <c r="AG43" s="27" t="s">
        <v>7</v>
      </c>
      <c r="AH43" s="27" t="s">
        <v>8</v>
      </c>
      <c r="AI43" s="27" t="s">
        <v>8</v>
      </c>
      <c r="AJ43" s="27" t="s">
        <v>8</v>
      </c>
      <c r="AK43" s="27" t="s">
        <v>8</v>
      </c>
      <c r="AL43" s="27" t="s">
        <v>7</v>
      </c>
      <c r="AM43" s="27" t="s">
        <v>8</v>
      </c>
      <c r="AN43" s="27" t="s">
        <v>8</v>
      </c>
      <c r="AO43" s="27" t="s">
        <v>8</v>
      </c>
      <c r="AP43" s="27" t="s">
        <v>8</v>
      </c>
      <c r="AQ43" s="27" t="s">
        <v>7</v>
      </c>
      <c r="AR43" s="27" t="s">
        <v>8</v>
      </c>
      <c r="AS43" s="27" t="s">
        <v>8</v>
      </c>
      <c r="AT43" s="27" t="s">
        <v>7</v>
      </c>
      <c r="AU43" s="27" t="s">
        <v>8</v>
      </c>
      <c r="AV43" s="27">
        <v>8</v>
      </c>
      <c r="AW43" s="27">
        <v>8</v>
      </c>
      <c r="AX43" s="27">
        <v>7</v>
      </c>
      <c r="AY43" s="27">
        <v>8</v>
      </c>
      <c r="AZ43" s="27">
        <v>8</v>
      </c>
      <c r="BA43" s="27">
        <v>7</v>
      </c>
      <c r="BB43" s="27" t="s">
        <v>253</v>
      </c>
      <c r="BC43" s="27" t="s">
        <v>225</v>
      </c>
      <c r="BD43" s="27" t="s">
        <v>210</v>
      </c>
      <c r="BE43" s="27" t="s">
        <v>533</v>
      </c>
      <c r="BF43" s="27" t="s">
        <v>534</v>
      </c>
      <c r="BG43" s="27" t="s">
        <v>535</v>
      </c>
      <c r="BH43" s="11"/>
      <c r="BI43" s="11"/>
      <c r="BJ43" s="11"/>
    </row>
    <row r="44" spans="1:62" ht="15.75" customHeight="1" x14ac:dyDescent="0.2">
      <c r="A44" s="27">
        <v>38</v>
      </c>
      <c r="B44" s="28">
        <v>45742.526825671295</v>
      </c>
      <c r="C44" s="28" t="s">
        <v>788</v>
      </c>
      <c r="D44" s="27" t="s">
        <v>326</v>
      </c>
      <c r="E44" s="27" t="s">
        <v>217</v>
      </c>
      <c r="F44" s="27" t="s">
        <v>200</v>
      </c>
      <c r="G44" s="27" t="s">
        <v>179</v>
      </c>
      <c r="H44" s="27" t="s">
        <v>180</v>
      </c>
      <c r="I44" s="27" t="s">
        <v>194</v>
      </c>
      <c r="J44" s="27" t="s">
        <v>7</v>
      </c>
      <c r="K44" s="27" t="s">
        <v>7</v>
      </c>
      <c r="L44" s="27" t="s">
        <v>8</v>
      </c>
      <c r="M44" s="27" t="s">
        <v>7</v>
      </c>
      <c r="N44" s="27" t="s">
        <v>7</v>
      </c>
      <c r="O44" s="27" t="s">
        <v>8</v>
      </c>
      <c r="P44" s="27" t="s">
        <v>7</v>
      </c>
      <c r="Q44" s="27" t="s">
        <v>7</v>
      </c>
      <c r="R44" s="27" t="s">
        <v>8</v>
      </c>
      <c r="S44" s="27" t="s">
        <v>6</v>
      </c>
      <c r="T44" s="27" t="s">
        <v>6</v>
      </c>
      <c r="U44" s="27" t="s">
        <v>6</v>
      </c>
      <c r="V44" s="27" t="s">
        <v>6</v>
      </c>
      <c r="W44" s="27" t="s">
        <v>7</v>
      </c>
      <c r="X44" s="27" t="s">
        <v>7</v>
      </c>
      <c r="Y44" s="27" t="s">
        <v>7</v>
      </c>
      <c r="Z44" s="27" t="s">
        <v>7</v>
      </c>
      <c r="AA44" s="27" t="s">
        <v>7</v>
      </c>
      <c r="AB44" s="27" t="s">
        <v>7</v>
      </c>
      <c r="AC44" s="27" t="s">
        <v>6</v>
      </c>
      <c r="AD44" s="27" t="s">
        <v>7</v>
      </c>
      <c r="AE44" s="27" t="s">
        <v>7</v>
      </c>
      <c r="AF44" s="27" t="s">
        <v>7</v>
      </c>
      <c r="AG44" s="27" t="s">
        <v>5</v>
      </c>
      <c r="AH44" s="27" t="s">
        <v>6</v>
      </c>
      <c r="AI44" s="27" t="s">
        <v>5</v>
      </c>
      <c r="AJ44" s="27" t="s">
        <v>7</v>
      </c>
      <c r="AK44" s="27" t="s">
        <v>7</v>
      </c>
      <c r="AL44" s="27" t="s">
        <v>7</v>
      </c>
      <c r="AM44" s="27" t="s">
        <v>8</v>
      </c>
      <c r="AN44" s="27" t="s">
        <v>6</v>
      </c>
      <c r="AO44" s="27" t="s">
        <v>5</v>
      </c>
      <c r="AP44" s="27" t="s">
        <v>5</v>
      </c>
      <c r="AQ44" s="27" t="s">
        <v>5</v>
      </c>
      <c r="AR44" s="27" t="s">
        <v>7</v>
      </c>
      <c r="AS44" s="27" t="s">
        <v>7</v>
      </c>
      <c r="AT44" s="27" t="s">
        <v>6</v>
      </c>
      <c r="AU44" s="27" t="s">
        <v>5</v>
      </c>
      <c r="AV44" s="27">
        <v>4</v>
      </c>
      <c r="AW44" s="27">
        <v>4</v>
      </c>
      <c r="AX44" s="27">
        <v>4</v>
      </c>
      <c r="AY44" s="27">
        <v>4</v>
      </c>
      <c r="AZ44" s="27">
        <v>5</v>
      </c>
      <c r="BA44" s="27">
        <v>4</v>
      </c>
      <c r="BB44" s="27" t="s">
        <v>189</v>
      </c>
      <c r="BC44" s="27" t="s">
        <v>211</v>
      </c>
      <c r="BD44" s="27" t="s">
        <v>377</v>
      </c>
      <c r="BE44" s="27" t="s">
        <v>536</v>
      </c>
      <c r="BF44" s="27" t="s">
        <v>537</v>
      </c>
      <c r="BG44" s="27" t="s">
        <v>538</v>
      </c>
      <c r="BH44" s="11"/>
      <c r="BI44" s="11"/>
      <c r="BJ44" s="11"/>
    </row>
    <row r="45" spans="1:62" ht="15.75" customHeight="1" x14ac:dyDescent="0.2">
      <c r="A45" s="27">
        <v>39</v>
      </c>
      <c r="B45" s="28">
        <v>45742.527003796291</v>
      </c>
      <c r="C45" s="28" t="s">
        <v>790</v>
      </c>
      <c r="D45" s="27" t="s">
        <v>176</v>
      </c>
      <c r="E45" s="27" t="s">
        <v>217</v>
      </c>
      <c r="F45" s="27" t="s">
        <v>205</v>
      </c>
      <c r="G45" s="27" t="s">
        <v>201</v>
      </c>
      <c r="H45" s="27" t="s">
        <v>187</v>
      </c>
      <c r="I45" s="27" t="s">
        <v>208</v>
      </c>
      <c r="J45" s="27" t="s">
        <v>8</v>
      </c>
      <c r="K45" s="27" t="s">
        <v>9</v>
      </c>
      <c r="L45" s="27" t="s">
        <v>9</v>
      </c>
      <c r="M45" s="27" t="s">
        <v>7</v>
      </c>
      <c r="N45" s="27" t="s">
        <v>8</v>
      </c>
      <c r="O45" s="27" t="s">
        <v>8</v>
      </c>
      <c r="P45" s="27" t="s">
        <v>9</v>
      </c>
      <c r="Q45" s="27" t="s">
        <v>9</v>
      </c>
      <c r="R45" s="27" t="s">
        <v>9</v>
      </c>
      <c r="S45" s="27" t="s">
        <v>9</v>
      </c>
      <c r="T45" s="27" t="s">
        <v>8</v>
      </c>
      <c r="U45" s="27" t="s">
        <v>8</v>
      </c>
      <c r="V45" s="27" t="s">
        <v>8</v>
      </c>
      <c r="W45" s="27" t="s">
        <v>8</v>
      </c>
      <c r="X45" s="27" t="s">
        <v>9</v>
      </c>
      <c r="Y45" s="27" t="s">
        <v>8</v>
      </c>
      <c r="Z45" s="27" t="s">
        <v>9</v>
      </c>
      <c r="AA45" s="27" t="s">
        <v>9</v>
      </c>
      <c r="AB45" s="27" t="s">
        <v>9</v>
      </c>
      <c r="AC45" s="27" t="s">
        <v>8</v>
      </c>
      <c r="AD45" s="27" t="s">
        <v>9</v>
      </c>
      <c r="AE45" s="27" t="s">
        <v>8</v>
      </c>
      <c r="AF45" s="27" t="s">
        <v>8</v>
      </c>
      <c r="AG45" s="27" t="s">
        <v>8</v>
      </c>
      <c r="AH45" s="27" t="s">
        <v>8</v>
      </c>
      <c r="AI45" s="27" t="s">
        <v>7</v>
      </c>
      <c r="AJ45" s="27" t="s">
        <v>8</v>
      </c>
      <c r="AK45" s="27" t="s">
        <v>9</v>
      </c>
      <c r="AL45" s="27" t="s">
        <v>8</v>
      </c>
      <c r="AM45" s="27" t="s">
        <v>8</v>
      </c>
      <c r="AN45" s="27" t="s">
        <v>9</v>
      </c>
      <c r="AO45" s="27" t="s">
        <v>9</v>
      </c>
      <c r="AP45" s="27" t="s">
        <v>9</v>
      </c>
      <c r="AQ45" s="27" t="s">
        <v>8</v>
      </c>
      <c r="AR45" s="27" t="s">
        <v>9</v>
      </c>
      <c r="AS45" s="27" t="s">
        <v>9</v>
      </c>
      <c r="AT45" s="27" t="s">
        <v>8</v>
      </c>
      <c r="AU45" s="27" t="s">
        <v>9</v>
      </c>
      <c r="AV45" s="27">
        <v>10</v>
      </c>
      <c r="AW45" s="27">
        <v>10</v>
      </c>
      <c r="AX45" s="27">
        <v>10</v>
      </c>
      <c r="AY45" s="27">
        <v>10</v>
      </c>
      <c r="AZ45" s="27">
        <v>10</v>
      </c>
      <c r="BA45" s="27">
        <v>9</v>
      </c>
      <c r="BB45" s="27" t="s">
        <v>219</v>
      </c>
      <c r="BC45" s="27" t="s">
        <v>211</v>
      </c>
      <c r="BD45" s="27" t="s">
        <v>221</v>
      </c>
      <c r="BE45" s="27" t="s">
        <v>234</v>
      </c>
      <c r="BF45" s="27" t="s">
        <v>539</v>
      </c>
      <c r="BG45" s="27" t="s">
        <v>234</v>
      </c>
      <c r="BH45" s="11"/>
      <c r="BI45" s="11"/>
      <c r="BJ45" s="11"/>
    </row>
    <row r="46" spans="1:62" ht="15.75" customHeight="1" x14ac:dyDescent="0.2">
      <c r="A46" s="27">
        <v>40</v>
      </c>
      <c r="B46" s="28">
        <v>45742.53221607639</v>
      </c>
      <c r="C46" s="28" t="s">
        <v>790</v>
      </c>
      <c r="D46" s="27" t="s">
        <v>212</v>
      </c>
      <c r="E46" s="27" t="s">
        <v>217</v>
      </c>
      <c r="F46" s="27" t="s">
        <v>200</v>
      </c>
      <c r="G46" s="27" t="s">
        <v>201</v>
      </c>
      <c r="H46" s="27" t="s">
        <v>187</v>
      </c>
      <c r="I46" s="27" t="s">
        <v>194</v>
      </c>
      <c r="J46" s="27" t="s">
        <v>9</v>
      </c>
      <c r="K46" s="27" t="s">
        <v>8</v>
      </c>
      <c r="L46" s="27" t="s">
        <v>9</v>
      </c>
      <c r="M46" s="27" t="s">
        <v>8</v>
      </c>
      <c r="N46" s="27" t="s">
        <v>8</v>
      </c>
      <c r="O46" s="27" t="s">
        <v>9</v>
      </c>
      <c r="P46" s="27" t="s">
        <v>9</v>
      </c>
      <c r="Q46" s="27" t="s">
        <v>8</v>
      </c>
      <c r="R46" s="27" t="s">
        <v>8</v>
      </c>
      <c r="S46" s="27" t="s">
        <v>9</v>
      </c>
      <c r="T46" s="27" t="s">
        <v>9</v>
      </c>
      <c r="U46" s="27" t="s">
        <v>8</v>
      </c>
      <c r="V46" s="27" t="s">
        <v>6</v>
      </c>
      <c r="W46" s="27" t="s">
        <v>9</v>
      </c>
      <c r="X46" s="27" t="s">
        <v>7</v>
      </c>
      <c r="Y46" s="27" t="s">
        <v>8</v>
      </c>
      <c r="Z46" s="27" t="s">
        <v>9</v>
      </c>
      <c r="AA46" s="27" t="s">
        <v>9</v>
      </c>
      <c r="AB46" s="27" t="s">
        <v>7</v>
      </c>
      <c r="AC46" s="27" t="s">
        <v>8</v>
      </c>
      <c r="AD46" s="27" t="s">
        <v>8</v>
      </c>
      <c r="AE46" s="27" t="s">
        <v>8</v>
      </c>
      <c r="AF46" s="27" t="s">
        <v>8</v>
      </c>
      <c r="AG46" s="27" t="s">
        <v>6</v>
      </c>
      <c r="AH46" s="27" t="s">
        <v>6</v>
      </c>
      <c r="AI46" s="27" t="s">
        <v>6</v>
      </c>
      <c r="AJ46" s="27" t="s">
        <v>8</v>
      </c>
      <c r="AK46" s="27" t="s">
        <v>9</v>
      </c>
      <c r="AL46" s="27" t="s">
        <v>9</v>
      </c>
      <c r="AM46" s="27" t="s">
        <v>9</v>
      </c>
      <c r="AN46" s="27" t="s">
        <v>8</v>
      </c>
      <c r="AO46" s="27" t="s">
        <v>8</v>
      </c>
      <c r="AP46" s="27" t="s">
        <v>8</v>
      </c>
      <c r="AQ46" s="27" t="s">
        <v>6</v>
      </c>
      <c r="AR46" s="27" t="s">
        <v>8</v>
      </c>
      <c r="AS46" s="27" t="s">
        <v>8</v>
      </c>
      <c r="AT46" s="27" t="s">
        <v>8</v>
      </c>
      <c r="AU46" s="27" t="s">
        <v>9</v>
      </c>
      <c r="AV46" s="27">
        <v>5</v>
      </c>
      <c r="AW46" s="27">
        <v>9</v>
      </c>
      <c r="AX46" s="27">
        <v>9</v>
      </c>
      <c r="AY46" s="27">
        <v>9</v>
      </c>
      <c r="AZ46" s="27">
        <v>6</v>
      </c>
      <c r="BA46" s="27">
        <v>7</v>
      </c>
      <c r="BB46" s="27" t="s">
        <v>220</v>
      </c>
      <c r="BC46" s="27" t="s">
        <v>195</v>
      </c>
      <c r="BD46" s="27" t="s">
        <v>221</v>
      </c>
      <c r="BE46" s="27" t="s">
        <v>540</v>
      </c>
      <c r="BF46" s="27" t="s">
        <v>242</v>
      </c>
      <c r="BG46" s="27" t="s">
        <v>242</v>
      </c>
      <c r="BH46" s="11"/>
      <c r="BI46" s="11"/>
      <c r="BJ46" s="11"/>
    </row>
    <row r="47" spans="1:62" ht="15.75" customHeight="1" x14ac:dyDescent="0.2">
      <c r="A47" s="27">
        <v>41</v>
      </c>
      <c r="B47" s="28">
        <v>45742.5324425</v>
      </c>
      <c r="C47" s="28" t="s">
        <v>790</v>
      </c>
      <c r="D47" s="27" t="s">
        <v>324</v>
      </c>
      <c r="E47" s="27" t="s">
        <v>177</v>
      </c>
      <c r="F47" s="27" t="s">
        <v>200</v>
      </c>
      <c r="G47" s="27" t="s">
        <v>201</v>
      </c>
      <c r="H47" s="27" t="s">
        <v>187</v>
      </c>
      <c r="I47" s="27" t="s">
        <v>181</v>
      </c>
      <c r="J47" s="27" t="s">
        <v>7</v>
      </c>
      <c r="K47" s="27" t="s">
        <v>9</v>
      </c>
      <c r="L47" s="27" t="s">
        <v>9</v>
      </c>
      <c r="M47" s="27" t="s">
        <v>9</v>
      </c>
      <c r="N47" s="27" t="s">
        <v>9</v>
      </c>
      <c r="O47" s="27" t="s">
        <v>9</v>
      </c>
      <c r="P47" s="27" t="s">
        <v>9</v>
      </c>
      <c r="Q47" s="27" t="s">
        <v>8</v>
      </c>
      <c r="R47" s="27" t="s">
        <v>9</v>
      </c>
      <c r="S47" s="30" t="s">
        <v>7</v>
      </c>
      <c r="T47" s="30" t="s">
        <v>7</v>
      </c>
      <c r="U47" s="30" t="s">
        <v>7</v>
      </c>
      <c r="V47" s="30" t="s">
        <v>7</v>
      </c>
      <c r="W47" s="30" t="s">
        <v>7</v>
      </c>
      <c r="X47" s="30" t="s">
        <v>7</v>
      </c>
      <c r="Y47" s="30" t="s">
        <v>8</v>
      </c>
      <c r="Z47" s="30" t="s">
        <v>9</v>
      </c>
      <c r="AA47" s="30" t="s">
        <v>9</v>
      </c>
      <c r="AB47" s="30" t="s">
        <v>9</v>
      </c>
      <c r="AC47" s="30" t="s">
        <v>9</v>
      </c>
      <c r="AD47" s="30" t="s">
        <v>9</v>
      </c>
      <c r="AE47" s="30" t="s">
        <v>9</v>
      </c>
      <c r="AF47" s="30" t="s">
        <v>9</v>
      </c>
      <c r="AG47" s="30" t="s">
        <v>9</v>
      </c>
      <c r="AH47" s="30" t="s">
        <v>9</v>
      </c>
      <c r="AI47" s="30" t="s">
        <v>9</v>
      </c>
      <c r="AJ47" s="30" t="s">
        <v>9</v>
      </c>
      <c r="AK47" s="30" t="s">
        <v>9</v>
      </c>
      <c r="AL47" s="30" t="s">
        <v>7</v>
      </c>
      <c r="AM47" s="27" t="s">
        <v>8</v>
      </c>
      <c r="AN47" s="27" t="s">
        <v>9</v>
      </c>
      <c r="AO47" s="27" t="s">
        <v>9</v>
      </c>
      <c r="AP47" s="27" t="s">
        <v>9</v>
      </c>
      <c r="AQ47" s="27" t="s">
        <v>9</v>
      </c>
      <c r="AR47" s="27" t="s">
        <v>9</v>
      </c>
      <c r="AS47" s="27" t="s">
        <v>9</v>
      </c>
      <c r="AT47" s="27" t="s">
        <v>7</v>
      </c>
      <c r="AU47" s="27" t="s">
        <v>8</v>
      </c>
      <c r="AV47" s="27">
        <v>10</v>
      </c>
      <c r="AW47" s="27">
        <v>10</v>
      </c>
      <c r="AX47" s="27">
        <v>10</v>
      </c>
      <c r="AY47" s="27">
        <v>10</v>
      </c>
      <c r="AZ47" s="27">
        <v>10</v>
      </c>
      <c r="BA47" s="27">
        <v>10</v>
      </c>
      <c r="BB47" s="27" t="s">
        <v>209</v>
      </c>
      <c r="BC47" s="27" t="s">
        <v>182</v>
      </c>
      <c r="BD47" s="27" t="s">
        <v>239</v>
      </c>
      <c r="BE47" s="27" t="s">
        <v>541</v>
      </c>
      <c r="BF47" s="27" t="s">
        <v>542</v>
      </c>
      <c r="BG47" s="27" t="s">
        <v>543</v>
      </c>
      <c r="BH47" s="11"/>
      <c r="BI47" s="11"/>
      <c r="BJ47" s="11"/>
    </row>
    <row r="48" spans="1:62" ht="15.75" customHeight="1" x14ac:dyDescent="0.2">
      <c r="A48" s="27">
        <v>42</v>
      </c>
      <c r="B48" s="28">
        <v>45742.532795729167</v>
      </c>
      <c r="C48" s="28" t="s">
        <v>788</v>
      </c>
      <c r="D48" s="27" t="s">
        <v>176</v>
      </c>
      <c r="E48" s="27" t="s">
        <v>193</v>
      </c>
      <c r="F48" s="27" t="s">
        <v>178</v>
      </c>
      <c r="G48" s="27" t="s">
        <v>179</v>
      </c>
      <c r="H48" s="27" t="s">
        <v>180</v>
      </c>
      <c r="I48" s="27" t="s">
        <v>198</v>
      </c>
      <c r="J48" s="27" t="s">
        <v>7</v>
      </c>
      <c r="K48" s="27" t="s">
        <v>7</v>
      </c>
      <c r="L48" s="27" t="s">
        <v>8</v>
      </c>
      <c r="M48" s="27" t="s">
        <v>7</v>
      </c>
      <c r="N48" s="27" t="s">
        <v>7</v>
      </c>
      <c r="O48" s="27" t="s">
        <v>9</v>
      </c>
      <c r="P48" s="27" t="s">
        <v>5</v>
      </c>
      <c r="Q48" s="27" t="s">
        <v>8</v>
      </c>
      <c r="R48" s="27" t="s">
        <v>9</v>
      </c>
      <c r="S48" s="30" t="s">
        <v>5</v>
      </c>
      <c r="T48" s="30" t="s">
        <v>5</v>
      </c>
      <c r="U48" s="30" t="s">
        <v>7</v>
      </c>
      <c r="V48" s="30" t="s">
        <v>5</v>
      </c>
      <c r="W48" s="30" t="s">
        <v>9</v>
      </c>
      <c r="X48" s="30" t="s">
        <v>8</v>
      </c>
      <c r="Y48" s="30" t="s">
        <v>5</v>
      </c>
      <c r="Z48" s="30" t="s">
        <v>9</v>
      </c>
      <c r="AA48" s="30" t="s">
        <v>7</v>
      </c>
      <c r="AB48" s="30" t="s">
        <v>6</v>
      </c>
      <c r="AC48" s="30" t="s">
        <v>9</v>
      </c>
      <c r="AD48" s="30" t="s">
        <v>9</v>
      </c>
      <c r="AE48" s="30" t="s">
        <v>9</v>
      </c>
      <c r="AF48" s="30" t="s">
        <v>7</v>
      </c>
      <c r="AG48" s="30" t="s">
        <v>9</v>
      </c>
      <c r="AH48" s="30" t="s">
        <v>9</v>
      </c>
      <c r="AI48" s="30" t="s">
        <v>8</v>
      </c>
      <c r="AJ48" s="30" t="s">
        <v>6</v>
      </c>
      <c r="AK48" s="30" t="s">
        <v>8</v>
      </c>
      <c r="AL48" s="30" t="s">
        <v>7</v>
      </c>
      <c r="AM48" s="27" t="s">
        <v>8</v>
      </c>
      <c r="AN48" s="27" t="s">
        <v>8</v>
      </c>
      <c r="AO48" s="27" t="s">
        <v>6</v>
      </c>
      <c r="AP48" s="27" t="s">
        <v>9</v>
      </c>
      <c r="AQ48" s="27" t="s">
        <v>8</v>
      </c>
      <c r="AR48" s="27" t="s">
        <v>6</v>
      </c>
      <c r="AS48" s="27" t="s">
        <v>5</v>
      </c>
      <c r="AT48" s="27" t="s">
        <v>5</v>
      </c>
      <c r="AU48" s="27" t="s">
        <v>5</v>
      </c>
      <c r="AV48" s="27">
        <v>10</v>
      </c>
      <c r="AW48" s="27">
        <v>1</v>
      </c>
      <c r="AX48" s="27">
        <v>7</v>
      </c>
      <c r="AY48" s="27">
        <v>2</v>
      </c>
      <c r="AZ48" s="27">
        <v>9</v>
      </c>
      <c r="BA48" s="27">
        <v>10</v>
      </c>
      <c r="BB48" s="27" t="s">
        <v>232</v>
      </c>
      <c r="BC48" s="27" t="s">
        <v>214</v>
      </c>
      <c r="BD48" s="27" t="s">
        <v>210</v>
      </c>
      <c r="BE48" s="27" t="s">
        <v>544</v>
      </c>
      <c r="BF48" s="27" t="s">
        <v>545</v>
      </c>
      <c r="BG48" s="27" t="s">
        <v>546</v>
      </c>
      <c r="BH48" s="11"/>
      <c r="BI48" s="11"/>
      <c r="BJ48" s="11"/>
    </row>
    <row r="49" spans="1:62" ht="15.75" customHeight="1" x14ac:dyDescent="0.2">
      <c r="A49" s="27">
        <v>43</v>
      </c>
      <c r="B49" s="28">
        <v>45742.533121018518</v>
      </c>
      <c r="C49" s="28" t="s">
        <v>790</v>
      </c>
      <c r="D49" s="27" t="s">
        <v>176</v>
      </c>
      <c r="E49" s="27" t="s">
        <v>177</v>
      </c>
      <c r="F49" s="27" t="s">
        <v>200</v>
      </c>
      <c r="G49" s="27" t="s">
        <v>179</v>
      </c>
      <c r="H49" s="27" t="s">
        <v>180</v>
      </c>
      <c r="I49" s="27" t="s">
        <v>181</v>
      </c>
      <c r="J49" s="27" t="s">
        <v>9</v>
      </c>
      <c r="K49" s="27" t="s">
        <v>7</v>
      </c>
      <c r="L49" s="27" t="s">
        <v>8</v>
      </c>
      <c r="M49" s="27" t="s">
        <v>7</v>
      </c>
      <c r="N49" s="27" t="s">
        <v>7</v>
      </c>
      <c r="O49" s="27" t="s">
        <v>7</v>
      </c>
      <c r="P49" s="27" t="s">
        <v>7</v>
      </c>
      <c r="Q49" s="27" t="s">
        <v>6</v>
      </c>
      <c r="R49" s="27" t="s">
        <v>6</v>
      </c>
      <c r="S49" s="27" t="s">
        <v>6</v>
      </c>
      <c r="T49" s="27" t="s">
        <v>6</v>
      </c>
      <c r="U49" s="27" t="s">
        <v>5</v>
      </c>
      <c r="V49" s="27" t="s">
        <v>6</v>
      </c>
      <c r="W49" s="27" t="s">
        <v>6</v>
      </c>
      <c r="X49" s="27" t="s">
        <v>5</v>
      </c>
      <c r="Y49" s="27" t="s">
        <v>5</v>
      </c>
      <c r="Z49" s="27" t="s">
        <v>7</v>
      </c>
      <c r="AA49" s="27" t="s">
        <v>7</v>
      </c>
      <c r="AB49" s="27" t="s">
        <v>7</v>
      </c>
      <c r="AC49" s="27" t="s">
        <v>7</v>
      </c>
      <c r="AD49" s="27" t="s">
        <v>6</v>
      </c>
      <c r="AE49" s="27" t="s">
        <v>7</v>
      </c>
      <c r="AF49" s="27" t="s">
        <v>7</v>
      </c>
      <c r="AG49" s="27" t="s">
        <v>5</v>
      </c>
      <c r="AH49" s="27" t="s">
        <v>5</v>
      </c>
      <c r="AI49" s="27" t="s">
        <v>5</v>
      </c>
      <c r="AJ49" s="27" t="s">
        <v>6</v>
      </c>
      <c r="AK49" s="27" t="s">
        <v>7</v>
      </c>
      <c r="AL49" s="27" t="s">
        <v>5</v>
      </c>
      <c r="AM49" s="27" t="s">
        <v>6</v>
      </c>
      <c r="AN49" s="27" t="s">
        <v>5</v>
      </c>
      <c r="AO49" s="27" t="s">
        <v>5</v>
      </c>
      <c r="AP49" s="27" t="s">
        <v>7</v>
      </c>
      <c r="AQ49" s="27" t="s">
        <v>5</v>
      </c>
      <c r="AR49" s="27" t="s">
        <v>6</v>
      </c>
      <c r="AS49" s="27" t="s">
        <v>7</v>
      </c>
      <c r="AT49" s="27" t="s">
        <v>5</v>
      </c>
      <c r="AU49" s="27" t="s">
        <v>5</v>
      </c>
      <c r="AV49" s="27">
        <v>7</v>
      </c>
      <c r="AW49" s="27">
        <v>8</v>
      </c>
      <c r="AX49" s="27">
        <v>9</v>
      </c>
      <c r="AY49" s="27">
        <v>10</v>
      </c>
      <c r="AZ49" s="27">
        <v>8</v>
      </c>
      <c r="BA49" s="27">
        <v>7</v>
      </c>
      <c r="BB49" s="27" t="s">
        <v>378</v>
      </c>
      <c r="BC49" s="27" t="s">
        <v>214</v>
      </c>
      <c r="BD49" s="27" t="s">
        <v>183</v>
      </c>
      <c r="BE49" s="27" t="s">
        <v>547</v>
      </c>
      <c r="BF49" s="27" t="s">
        <v>548</v>
      </c>
      <c r="BG49" s="27" t="s">
        <v>549</v>
      </c>
      <c r="BH49" s="11"/>
      <c r="BI49" s="11"/>
      <c r="BJ49" s="11"/>
    </row>
    <row r="50" spans="1:62" ht="15.75" customHeight="1" x14ac:dyDescent="0.2">
      <c r="A50" s="27">
        <v>44</v>
      </c>
      <c r="B50" s="28">
        <v>45742.533990358796</v>
      </c>
      <c r="C50" s="28" t="s">
        <v>790</v>
      </c>
      <c r="D50" s="27" t="s">
        <v>176</v>
      </c>
      <c r="E50" s="27" t="s">
        <v>185</v>
      </c>
      <c r="F50" s="27" t="s">
        <v>200</v>
      </c>
      <c r="G50" s="27" t="s">
        <v>179</v>
      </c>
      <c r="H50" s="27" t="s">
        <v>187</v>
      </c>
      <c r="I50" s="27" t="s">
        <v>194</v>
      </c>
      <c r="J50" s="27" t="s">
        <v>8</v>
      </c>
      <c r="K50" s="27" t="s">
        <v>8</v>
      </c>
      <c r="L50" s="27" t="s">
        <v>9</v>
      </c>
      <c r="M50" s="27" t="s">
        <v>7</v>
      </c>
      <c r="N50" s="27" t="s">
        <v>8</v>
      </c>
      <c r="O50" s="27" t="s">
        <v>8</v>
      </c>
      <c r="P50" s="27" t="s">
        <v>5</v>
      </c>
      <c r="Q50" s="27" t="s">
        <v>6</v>
      </c>
      <c r="R50" s="27" t="s">
        <v>7</v>
      </c>
      <c r="S50" s="27" t="s">
        <v>7</v>
      </c>
      <c r="T50" s="27" t="s">
        <v>7</v>
      </c>
      <c r="U50" s="27" t="s">
        <v>6</v>
      </c>
      <c r="V50" s="27" t="s">
        <v>8</v>
      </c>
      <c r="W50" s="27" t="s">
        <v>7</v>
      </c>
      <c r="X50" s="27" t="s">
        <v>5</v>
      </c>
      <c r="Y50" s="27" t="s">
        <v>5</v>
      </c>
      <c r="Z50" s="27" t="s">
        <v>7</v>
      </c>
      <c r="AA50" s="27" t="s">
        <v>8</v>
      </c>
      <c r="AB50" s="27" t="s">
        <v>6</v>
      </c>
      <c r="AC50" s="27" t="s">
        <v>7</v>
      </c>
      <c r="AD50" s="27" t="s">
        <v>7</v>
      </c>
      <c r="AE50" s="27" t="s">
        <v>6</v>
      </c>
      <c r="AF50" s="27" t="s">
        <v>7</v>
      </c>
      <c r="AG50" s="27" t="s">
        <v>5</v>
      </c>
      <c r="AH50" s="27" t="s">
        <v>5</v>
      </c>
      <c r="AI50" s="27" t="s">
        <v>5</v>
      </c>
      <c r="AJ50" s="27" t="s">
        <v>6</v>
      </c>
      <c r="AK50" s="27" t="s">
        <v>7</v>
      </c>
      <c r="AL50" s="27" t="s">
        <v>7</v>
      </c>
      <c r="AM50" s="27" t="s">
        <v>7</v>
      </c>
      <c r="AN50" s="27" t="s">
        <v>7</v>
      </c>
      <c r="AO50" s="27" t="s">
        <v>7</v>
      </c>
      <c r="AP50" s="27" t="s">
        <v>7</v>
      </c>
      <c r="AQ50" s="27" t="s">
        <v>5</v>
      </c>
      <c r="AR50" s="27" t="s">
        <v>6</v>
      </c>
      <c r="AS50" s="27" t="s">
        <v>7</v>
      </c>
      <c r="AT50" s="27" t="s">
        <v>5</v>
      </c>
      <c r="AU50" s="27" t="s">
        <v>7</v>
      </c>
      <c r="AV50" s="27">
        <v>2</v>
      </c>
      <c r="AW50" s="27">
        <v>3</v>
      </c>
      <c r="AX50" s="27">
        <v>6</v>
      </c>
      <c r="AY50" s="27">
        <v>6</v>
      </c>
      <c r="AZ50" s="27">
        <v>0</v>
      </c>
      <c r="BA50" s="27">
        <v>2</v>
      </c>
      <c r="BB50" s="27" t="s">
        <v>219</v>
      </c>
      <c r="BC50" s="27" t="s">
        <v>211</v>
      </c>
      <c r="BD50" s="27" t="s">
        <v>183</v>
      </c>
      <c r="BE50" s="27" t="s">
        <v>550</v>
      </c>
      <c r="BF50" s="27" t="s">
        <v>551</v>
      </c>
      <c r="BG50" s="27" t="s">
        <v>552</v>
      </c>
      <c r="BH50" s="11"/>
      <c r="BI50" s="11"/>
      <c r="BJ50" s="11"/>
    </row>
    <row r="51" spans="1:62" ht="15.75" customHeight="1" x14ac:dyDescent="0.2">
      <c r="A51" s="27">
        <v>45</v>
      </c>
      <c r="B51" s="28">
        <v>45742.535205185181</v>
      </c>
      <c r="C51" s="28" t="s">
        <v>792</v>
      </c>
      <c r="D51" s="27" t="s">
        <v>197</v>
      </c>
      <c r="E51" s="27" t="s">
        <v>217</v>
      </c>
      <c r="F51" s="27" t="s">
        <v>186</v>
      </c>
      <c r="G51" s="27" t="s">
        <v>201</v>
      </c>
      <c r="H51" s="27" t="s">
        <v>187</v>
      </c>
      <c r="I51" s="27" t="s">
        <v>198</v>
      </c>
      <c r="J51" s="27" t="s">
        <v>9</v>
      </c>
      <c r="K51" s="27" t="s">
        <v>9</v>
      </c>
      <c r="L51" s="27" t="s">
        <v>9</v>
      </c>
      <c r="M51" s="27" t="s">
        <v>9</v>
      </c>
      <c r="N51" s="27" t="s">
        <v>9</v>
      </c>
      <c r="O51" s="27" t="s">
        <v>9</v>
      </c>
      <c r="P51" s="27" t="s">
        <v>9</v>
      </c>
      <c r="Q51" s="27" t="s">
        <v>9</v>
      </c>
      <c r="R51" s="27" t="s">
        <v>9</v>
      </c>
      <c r="S51" s="27" t="s">
        <v>9</v>
      </c>
      <c r="T51" s="27" t="s">
        <v>9</v>
      </c>
      <c r="U51" s="27" t="s">
        <v>9</v>
      </c>
      <c r="V51" s="27" t="s">
        <v>9</v>
      </c>
      <c r="W51" s="27" t="s">
        <v>9</v>
      </c>
      <c r="X51" s="27" t="s">
        <v>9</v>
      </c>
      <c r="Y51" s="27" t="s">
        <v>9</v>
      </c>
      <c r="Z51" s="27" t="s">
        <v>9</v>
      </c>
      <c r="AA51" s="27" t="s">
        <v>9</v>
      </c>
      <c r="AB51" s="27" t="s">
        <v>9</v>
      </c>
      <c r="AC51" s="27" t="s">
        <v>9</v>
      </c>
      <c r="AD51" s="27" t="s">
        <v>9</v>
      </c>
      <c r="AE51" s="27" t="s">
        <v>9</v>
      </c>
      <c r="AF51" s="27" t="s">
        <v>9</v>
      </c>
      <c r="AG51" s="27" t="s">
        <v>9</v>
      </c>
      <c r="AH51" s="27" t="s">
        <v>9</v>
      </c>
      <c r="AI51" s="27" t="s">
        <v>8</v>
      </c>
      <c r="AJ51" s="27" t="s">
        <v>9</v>
      </c>
      <c r="AK51" s="27" t="s">
        <v>9</v>
      </c>
      <c r="AL51" s="27" t="s">
        <v>9</v>
      </c>
      <c r="AM51" s="27" t="s">
        <v>9</v>
      </c>
      <c r="AN51" s="27" t="s">
        <v>9</v>
      </c>
      <c r="AO51" s="27" t="s">
        <v>9</v>
      </c>
      <c r="AP51" s="27" t="s">
        <v>9</v>
      </c>
      <c r="AQ51" s="27" t="s">
        <v>9</v>
      </c>
      <c r="AR51" s="27" t="s">
        <v>9</v>
      </c>
      <c r="AS51" s="27" t="s">
        <v>9</v>
      </c>
      <c r="AT51" s="27" t="s">
        <v>9</v>
      </c>
      <c r="AU51" s="27" t="s">
        <v>9</v>
      </c>
      <c r="AV51" s="27">
        <v>8</v>
      </c>
      <c r="AW51" s="27">
        <v>10</v>
      </c>
      <c r="AX51" s="27">
        <v>10</v>
      </c>
      <c r="AY51" s="27">
        <v>10</v>
      </c>
      <c r="AZ51" s="27">
        <v>10</v>
      </c>
      <c r="BA51" s="27">
        <v>10</v>
      </c>
      <c r="BB51" s="27" t="s">
        <v>231</v>
      </c>
      <c r="BC51" s="27" t="s">
        <v>182</v>
      </c>
      <c r="BD51" s="27" t="s">
        <v>379</v>
      </c>
      <c r="BE51" s="27" t="s">
        <v>553</v>
      </c>
      <c r="BF51" s="27" t="s">
        <v>554</v>
      </c>
      <c r="BG51" s="27" t="s">
        <v>555</v>
      </c>
      <c r="BH51" s="11"/>
      <c r="BI51" s="11"/>
      <c r="BJ51" s="11"/>
    </row>
    <row r="52" spans="1:62" ht="15.75" customHeight="1" x14ac:dyDescent="0.2">
      <c r="A52" s="27">
        <v>46</v>
      </c>
      <c r="B52" s="28">
        <v>45742.535857916664</v>
      </c>
      <c r="C52" s="28" t="s">
        <v>790</v>
      </c>
      <c r="D52" s="27" t="s">
        <v>176</v>
      </c>
      <c r="E52" s="27" t="s">
        <v>193</v>
      </c>
      <c r="F52" s="27" t="s">
        <v>200</v>
      </c>
      <c r="G52" s="27" t="s">
        <v>179</v>
      </c>
      <c r="H52" s="27" t="s">
        <v>180</v>
      </c>
      <c r="I52" s="27" t="s">
        <v>181</v>
      </c>
      <c r="J52" s="27" t="s">
        <v>9</v>
      </c>
      <c r="K52" s="27" t="s">
        <v>9</v>
      </c>
      <c r="L52" s="27" t="s">
        <v>9</v>
      </c>
      <c r="M52" s="27" t="s">
        <v>9</v>
      </c>
      <c r="N52" s="27" t="s">
        <v>9</v>
      </c>
      <c r="O52" s="27" t="s">
        <v>8</v>
      </c>
      <c r="P52" s="27" t="s">
        <v>8</v>
      </c>
      <c r="Q52" s="27" t="s">
        <v>8</v>
      </c>
      <c r="R52" s="27" t="s">
        <v>9</v>
      </c>
      <c r="S52" s="27" t="s">
        <v>9</v>
      </c>
      <c r="T52" s="27" t="s">
        <v>7</v>
      </c>
      <c r="U52" s="27" t="s">
        <v>9</v>
      </c>
      <c r="V52" s="27" t="s">
        <v>8</v>
      </c>
      <c r="W52" s="27" t="s">
        <v>9</v>
      </c>
      <c r="X52" s="27" t="s">
        <v>6</v>
      </c>
      <c r="Y52" s="27" t="s">
        <v>9</v>
      </c>
      <c r="Z52" s="27" t="s">
        <v>9</v>
      </c>
      <c r="AA52" s="27" t="s">
        <v>9</v>
      </c>
      <c r="AB52" s="27" t="s">
        <v>9</v>
      </c>
      <c r="AC52" s="27" t="s">
        <v>9</v>
      </c>
      <c r="AD52" s="27" t="s">
        <v>9</v>
      </c>
      <c r="AE52" s="27" t="s">
        <v>9</v>
      </c>
      <c r="AF52" s="27" t="s">
        <v>9</v>
      </c>
      <c r="AG52" s="27" t="s">
        <v>8</v>
      </c>
      <c r="AH52" s="27" t="s">
        <v>8</v>
      </c>
      <c r="AI52" s="27" t="s">
        <v>9</v>
      </c>
      <c r="AJ52" s="27" t="s">
        <v>9</v>
      </c>
      <c r="AK52" s="27" t="s">
        <v>8</v>
      </c>
      <c r="AL52" s="27" t="s">
        <v>7</v>
      </c>
      <c r="AM52" s="27" t="s">
        <v>7</v>
      </c>
      <c r="AN52" s="27" t="s">
        <v>7</v>
      </c>
      <c r="AO52" s="27" t="s">
        <v>6</v>
      </c>
      <c r="AP52" s="27" t="s">
        <v>7</v>
      </c>
      <c r="AQ52" s="27" t="s">
        <v>6</v>
      </c>
      <c r="AR52" s="27" t="s">
        <v>7</v>
      </c>
      <c r="AS52" s="27" t="s">
        <v>6</v>
      </c>
      <c r="AT52" s="27" t="s">
        <v>5</v>
      </c>
      <c r="AU52" s="27" t="s">
        <v>6</v>
      </c>
      <c r="AV52" s="27">
        <v>10</v>
      </c>
      <c r="AW52" s="27">
        <v>9</v>
      </c>
      <c r="AX52" s="27">
        <v>8</v>
      </c>
      <c r="AY52" s="27">
        <v>10</v>
      </c>
      <c r="AZ52" s="27">
        <v>10</v>
      </c>
      <c r="BA52" s="27">
        <v>10</v>
      </c>
      <c r="BB52" s="27" t="s">
        <v>380</v>
      </c>
      <c r="BC52" s="27" t="s">
        <v>214</v>
      </c>
      <c r="BD52" s="27" t="s">
        <v>210</v>
      </c>
      <c r="BE52" s="27" t="s">
        <v>556</v>
      </c>
      <c r="BF52" s="27" t="s">
        <v>557</v>
      </c>
      <c r="BG52" s="27" t="s">
        <v>558</v>
      </c>
      <c r="BH52" s="11"/>
      <c r="BI52" s="11"/>
      <c r="BJ52" s="11"/>
    </row>
    <row r="53" spans="1:62" ht="15.75" customHeight="1" x14ac:dyDescent="0.2">
      <c r="A53" s="27">
        <v>47</v>
      </c>
      <c r="B53" s="28">
        <v>45742.540199513889</v>
      </c>
      <c r="C53" s="28" t="s">
        <v>791</v>
      </c>
      <c r="D53" s="27" t="s">
        <v>176</v>
      </c>
      <c r="E53" s="27" t="s">
        <v>193</v>
      </c>
      <c r="F53" s="27" t="s">
        <v>200</v>
      </c>
      <c r="G53" s="27" t="s">
        <v>179</v>
      </c>
      <c r="H53" s="27" t="s">
        <v>187</v>
      </c>
      <c r="I53" s="27" t="s">
        <v>208</v>
      </c>
      <c r="J53" s="27" t="s">
        <v>8</v>
      </c>
      <c r="K53" s="27" t="s">
        <v>8</v>
      </c>
      <c r="L53" s="27" t="s">
        <v>9</v>
      </c>
      <c r="M53" s="27" t="s">
        <v>9</v>
      </c>
      <c r="N53" s="27" t="s">
        <v>8</v>
      </c>
      <c r="O53" s="27" t="s">
        <v>8</v>
      </c>
      <c r="P53" s="27" t="s">
        <v>9</v>
      </c>
      <c r="Q53" s="27" t="s">
        <v>9</v>
      </c>
      <c r="R53" s="27" t="s">
        <v>9</v>
      </c>
      <c r="S53" s="27" t="s">
        <v>9</v>
      </c>
      <c r="T53" s="27" t="s">
        <v>9</v>
      </c>
      <c r="U53" s="27" t="s">
        <v>8</v>
      </c>
      <c r="V53" s="27" t="s">
        <v>8</v>
      </c>
      <c r="W53" s="27" t="s">
        <v>8</v>
      </c>
      <c r="X53" s="27" t="s">
        <v>9</v>
      </c>
      <c r="Y53" s="27" t="s">
        <v>9</v>
      </c>
      <c r="Z53" s="27" t="s">
        <v>9</v>
      </c>
      <c r="AA53" s="27" t="s">
        <v>9</v>
      </c>
      <c r="AB53" s="27" t="s">
        <v>8</v>
      </c>
      <c r="AC53" s="27" t="s">
        <v>9</v>
      </c>
      <c r="AD53" s="27" t="s">
        <v>9</v>
      </c>
      <c r="AE53" s="27" t="s">
        <v>9</v>
      </c>
      <c r="AF53" s="27" t="s">
        <v>8</v>
      </c>
      <c r="AG53" s="27" t="s">
        <v>8</v>
      </c>
      <c r="AH53" s="27" t="s">
        <v>8</v>
      </c>
      <c r="AI53" s="27" t="s">
        <v>7</v>
      </c>
      <c r="AJ53" s="27" t="s">
        <v>8</v>
      </c>
      <c r="AK53" s="27" t="s">
        <v>8</v>
      </c>
      <c r="AL53" s="27" t="s">
        <v>8</v>
      </c>
      <c r="AM53" s="27" t="s">
        <v>8</v>
      </c>
      <c r="AN53" s="27" t="s">
        <v>8</v>
      </c>
      <c r="AO53" s="27" t="s">
        <v>7</v>
      </c>
      <c r="AP53" s="27" t="s">
        <v>8</v>
      </c>
      <c r="AQ53" s="27" t="s">
        <v>8</v>
      </c>
      <c r="AR53" s="27" t="s">
        <v>8</v>
      </c>
      <c r="AS53" s="27" t="s">
        <v>8</v>
      </c>
      <c r="AT53" s="27" t="s">
        <v>8</v>
      </c>
      <c r="AU53" s="27" t="s">
        <v>8</v>
      </c>
      <c r="AV53" s="27">
        <v>10</v>
      </c>
      <c r="AW53" s="27">
        <v>10</v>
      </c>
      <c r="AX53" s="27">
        <v>8</v>
      </c>
      <c r="AY53" s="27">
        <v>9</v>
      </c>
      <c r="AZ53" s="27">
        <v>9</v>
      </c>
      <c r="BA53" s="27">
        <v>9</v>
      </c>
      <c r="BB53" s="27" t="s">
        <v>231</v>
      </c>
      <c r="BC53" s="27" t="s">
        <v>182</v>
      </c>
      <c r="BD53" s="27" t="s">
        <v>233</v>
      </c>
      <c r="BE53" s="27" t="s">
        <v>559</v>
      </c>
      <c r="BF53" s="27" t="s">
        <v>560</v>
      </c>
      <c r="BG53" s="27" t="s">
        <v>561</v>
      </c>
      <c r="BH53" s="11"/>
      <c r="BI53" s="11"/>
      <c r="BJ53" s="11"/>
    </row>
    <row r="54" spans="1:62" ht="15.75" customHeight="1" x14ac:dyDescent="0.2">
      <c r="A54" s="27">
        <v>48</v>
      </c>
      <c r="B54" s="28">
        <v>45742.545250405092</v>
      </c>
      <c r="C54" s="28" t="s">
        <v>788</v>
      </c>
      <c r="D54" s="27" t="s">
        <v>176</v>
      </c>
      <c r="E54" s="27" t="s">
        <v>177</v>
      </c>
      <c r="F54" s="27" t="s">
        <v>200</v>
      </c>
      <c r="G54" s="27" t="s">
        <v>179</v>
      </c>
      <c r="H54" s="27" t="s">
        <v>187</v>
      </c>
      <c r="I54" s="27" t="s">
        <v>181</v>
      </c>
      <c r="J54" s="27" t="s">
        <v>9</v>
      </c>
      <c r="K54" s="27" t="s">
        <v>8</v>
      </c>
      <c r="L54" s="27" t="s">
        <v>9</v>
      </c>
      <c r="M54" s="27" t="s">
        <v>9</v>
      </c>
      <c r="N54" s="27" t="s">
        <v>8</v>
      </c>
      <c r="O54" s="27" t="s">
        <v>8</v>
      </c>
      <c r="P54" s="27" t="s">
        <v>8</v>
      </c>
      <c r="Q54" s="27" t="s">
        <v>9</v>
      </c>
      <c r="R54" s="27" t="s">
        <v>9</v>
      </c>
      <c r="S54" s="27" t="s">
        <v>9</v>
      </c>
      <c r="T54" s="27" t="s">
        <v>8</v>
      </c>
      <c r="U54" s="27" t="s">
        <v>8</v>
      </c>
      <c r="V54" s="27" t="s">
        <v>7</v>
      </c>
      <c r="W54" s="27" t="s">
        <v>8</v>
      </c>
      <c r="X54" s="27" t="s">
        <v>7</v>
      </c>
      <c r="Y54" s="27" t="s">
        <v>7</v>
      </c>
      <c r="Z54" s="27" t="s">
        <v>9</v>
      </c>
      <c r="AA54" s="27" t="s">
        <v>9</v>
      </c>
      <c r="AB54" s="27" t="s">
        <v>7</v>
      </c>
      <c r="AC54" s="27" t="s">
        <v>9</v>
      </c>
      <c r="AD54" s="27" t="s">
        <v>7</v>
      </c>
      <c r="AE54" s="27" t="s">
        <v>6</v>
      </c>
      <c r="AF54" s="27" t="s">
        <v>8</v>
      </c>
      <c r="AG54" s="27" t="s">
        <v>6</v>
      </c>
      <c r="AH54" s="27" t="s">
        <v>6</v>
      </c>
      <c r="AI54" s="27" t="s">
        <v>6</v>
      </c>
      <c r="AJ54" s="27" t="s">
        <v>8</v>
      </c>
      <c r="AK54" s="27" t="s">
        <v>8</v>
      </c>
      <c r="AL54" s="27" t="s">
        <v>8</v>
      </c>
      <c r="AM54" s="27" t="s">
        <v>8</v>
      </c>
      <c r="AN54" s="27" t="s">
        <v>7</v>
      </c>
      <c r="AO54" s="27" t="s">
        <v>7</v>
      </c>
      <c r="AP54" s="27" t="s">
        <v>6</v>
      </c>
      <c r="AQ54" s="27" t="s">
        <v>6</v>
      </c>
      <c r="AR54" s="27" t="s">
        <v>8</v>
      </c>
      <c r="AS54" s="27" t="s">
        <v>7</v>
      </c>
      <c r="AT54" s="27" t="s">
        <v>7</v>
      </c>
      <c r="AU54" s="27" t="s">
        <v>8</v>
      </c>
      <c r="AV54" s="27">
        <v>8</v>
      </c>
      <c r="AW54" s="27">
        <v>9</v>
      </c>
      <c r="AX54" s="27">
        <v>6</v>
      </c>
      <c r="AY54" s="27">
        <v>8</v>
      </c>
      <c r="AZ54" s="27">
        <v>7</v>
      </c>
      <c r="BA54" s="27">
        <v>8</v>
      </c>
      <c r="BB54" s="27" t="s">
        <v>381</v>
      </c>
      <c r="BC54" s="27" t="s">
        <v>195</v>
      </c>
      <c r="BD54" s="27" t="s">
        <v>382</v>
      </c>
      <c r="BE54" s="27" t="s">
        <v>562</v>
      </c>
      <c r="BF54" s="27" t="s">
        <v>563</v>
      </c>
      <c r="BG54" s="27" t="s">
        <v>564</v>
      </c>
      <c r="BH54" s="11"/>
      <c r="BI54" s="11"/>
      <c r="BJ54" s="11"/>
    </row>
    <row r="55" spans="1:62" ht="15.75" customHeight="1" x14ac:dyDescent="0.2">
      <c r="A55" s="27">
        <v>49</v>
      </c>
      <c r="B55" s="28">
        <v>45742.548085023147</v>
      </c>
      <c r="C55" s="28" t="s">
        <v>790</v>
      </c>
      <c r="D55" s="27" t="s">
        <v>212</v>
      </c>
      <c r="E55" s="27" t="s">
        <v>217</v>
      </c>
      <c r="F55" s="27" t="s">
        <v>200</v>
      </c>
      <c r="G55" s="27" t="s">
        <v>201</v>
      </c>
      <c r="H55" s="27" t="s">
        <v>187</v>
      </c>
      <c r="I55" s="27" t="s">
        <v>208</v>
      </c>
      <c r="J55" s="27" t="s">
        <v>9</v>
      </c>
      <c r="K55" s="27" t="s">
        <v>9</v>
      </c>
      <c r="L55" s="27" t="s">
        <v>9</v>
      </c>
      <c r="M55" s="27" t="s">
        <v>9</v>
      </c>
      <c r="N55" s="27" t="s">
        <v>9</v>
      </c>
      <c r="O55" s="27" t="s">
        <v>9</v>
      </c>
      <c r="P55" s="27" t="s">
        <v>9</v>
      </c>
      <c r="Q55" s="27" t="s">
        <v>9</v>
      </c>
      <c r="R55" s="27" t="s">
        <v>9</v>
      </c>
      <c r="S55" s="27" t="s">
        <v>9</v>
      </c>
      <c r="T55" s="27" t="s">
        <v>9</v>
      </c>
      <c r="U55" s="27" t="s">
        <v>8</v>
      </c>
      <c r="V55" s="27" t="s">
        <v>7</v>
      </c>
      <c r="W55" s="27" t="s">
        <v>8</v>
      </c>
      <c r="X55" s="27" t="s">
        <v>7</v>
      </c>
      <c r="Y55" s="27" t="s">
        <v>7</v>
      </c>
      <c r="Z55" s="27" t="s">
        <v>9</v>
      </c>
      <c r="AA55" s="27" t="s">
        <v>9</v>
      </c>
      <c r="AB55" s="27" t="s">
        <v>7</v>
      </c>
      <c r="AC55" s="27" t="s">
        <v>8</v>
      </c>
      <c r="AD55" s="27" t="s">
        <v>8</v>
      </c>
      <c r="AE55" s="27" t="s">
        <v>8</v>
      </c>
      <c r="AF55" s="27" t="s">
        <v>7</v>
      </c>
      <c r="AG55" s="27" t="s">
        <v>7</v>
      </c>
      <c r="AH55" s="27" t="s">
        <v>7</v>
      </c>
      <c r="AI55" s="27" t="s">
        <v>6</v>
      </c>
      <c r="AJ55" s="27" t="s">
        <v>9</v>
      </c>
      <c r="AK55" s="27" t="s">
        <v>8</v>
      </c>
      <c r="AL55" s="27" t="s">
        <v>8</v>
      </c>
      <c r="AM55" s="27" t="s">
        <v>8</v>
      </c>
      <c r="AN55" s="27" t="s">
        <v>8</v>
      </c>
      <c r="AO55" s="27" t="s">
        <v>7</v>
      </c>
      <c r="AP55" s="27" t="s">
        <v>9</v>
      </c>
      <c r="AQ55" s="27" t="s">
        <v>6</v>
      </c>
      <c r="AR55" s="27" t="s">
        <v>9</v>
      </c>
      <c r="AS55" s="27" t="s">
        <v>9</v>
      </c>
      <c r="AT55" s="27" t="s">
        <v>9</v>
      </c>
      <c r="AU55" s="27" t="s">
        <v>9</v>
      </c>
      <c r="AV55" s="27">
        <v>9</v>
      </c>
      <c r="AW55" s="27">
        <v>9</v>
      </c>
      <c r="AX55" s="27">
        <v>10</v>
      </c>
      <c r="AY55" s="27">
        <v>10</v>
      </c>
      <c r="AZ55" s="27">
        <v>7</v>
      </c>
      <c r="BA55" s="27">
        <v>8</v>
      </c>
      <c r="BB55" s="27" t="s">
        <v>383</v>
      </c>
      <c r="BC55" s="27" t="s">
        <v>190</v>
      </c>
      <c r="BD55" s="27" t="s">
        <v>384</v>
      </c>
      <c r="BE55" s="27" t="s">
        <v>565</v>
      </c>
      <c r="BF55" s="27" t="s">
        <v>566</v>
      </c>
      <c r="BG55" s="27" t="s">
        <v>567</v>
      </c>
      <c r="BH55" s="11"/>
      <c r="BI55" s="11"/>
      <c r="BJ55" s="11"/>
    </row>
    <row r="56" spans="1:62" ht="15.75" customHeight="1" x14ac:dyDescent="0.2">
      <c r="A56" s="27">
        <v>50</v>
      </c>
      <c r="B56" s="28">
        <v>45742.549301041669</v>
      </c>
      <c r="C56" s="28" t="s">
        <v>792</v>
      </c>
      <c r="D56" s="27" t="s">
        <v>197</v>
      </c>
      <c r="E56" s="27" t="s">
        <v>177</v>
      </c>
      <c r="F56" s="27" t="s">
        <v>200</v>
      </c>
      <c r="G56" s="27" t="s">
        <v>179</v>
      </c>
      <c r="H56" s="27" t="s">
        <v>187</v>
      </c>
      <c r="I56" s="27" t="s">
        <v>198</v>
      </c>
      <c r="J56" s="27" t="s">
        <v>8</v>
      </c>
      <c r="K56" s="27" t="s">
        <v>8</v>
      </c>
      <c r="L56" s="27" t="s">
        <v>9</v>
      </c>
      <c r="M56" s="27" t="s">
        <v>8</v>
      </c>
      <c r="N56" s="27" t="s">
        <v>9</v>
      </c>
      <c r="O56" s="27" t="s">
        <v>8</v>
      </c>
      <c r="P56" s="27" t="s">
        <v>9</v>
      </c>
      <c r="Q56" s="27" t="s">
        <v>9</v>
      </c>
      <c r="R56" s="27" t="s">
        <v>9</v>
      </c>
      <c r="S56" s="27" t="s">
        <v>9</v>
      </c>
      <c r="T56" s="27" t="s">
        <v>9</v>
      </c>
      <c r="U56" s="27" t="s">
        <v>9</v>
      </c>
      <c r="V56" s="27" t="s">
        <v>9</v>
      </c>
      <c r="W56" s="27" t="s">
        <v>9</v>
      </c>
      <c r="X56" s="27" t="s">
        <v>8</v>
      </c>
      <c r="Y56" s="27" t="s">
        <v>8</v>
      </c>
      <c r="Z56" s="27" t="s">
        <v>9</v>
      </c>
      <c r="AA56" s="27" t="s">
        <v>9</v>
      </c>
      <c r="AB56" s="27" t="s">
        <v>8</v>
      </c>
      <c r="AC56" s="27" t="s">
        <v>9</v>
      </c>
      <c r="AD56" s="27" t="s">
        <v>8</v>
      </c>
      <c r="AE56" s="27" t="s">
        <v>8</v>
      </c>
      <c r="AF56" s="27" t="s">
        <v>8</v>
      </c>
      <c r="AG56" s="27" t="s">
        <v>9</v>
      </c>
      <c r="AH56" s="27" t="s">
        <v>9</v>
      </c>
      <c r="AI56" s="27" t="s">
        <v>7</v>
      </c>
      <c r="AJ56" s="27" t="s">
        <v>9</v>
      </c>
      <c r="AK56" s="27" t="s">
        <v>8</v>
      </c>
      <c r="AL56" s="27" t="s">
        <v>9</v>
      </c>
      <c r="AM56" s="27" t="s">
        <v>9</v>
      </c>
      <c r="AN56" s="27" t="s">
        <v>7</v>
      </c>
      <c r="AO56" s="27" t="s">
        <v>7</v>
      </c>
      <c r="AP56" s="27" t="s">
        <v>9</v>
      </c>
      <c r="AQ56" s="27" t="s">
        <v>8</v>
      </c>
      <c r="AR56" s="27" t="s">
        <v>9</v>
      </c>
      <c r="AS56" s="27" t="s">
        <v>8</v>
      </c>
      <c r="AT56" s="27" t="s">
        <v>8</v>
      </c>
      <c r="AU56" s="27" t="s">
        <v>8</v>
      </c>
      <c r="AV56" s="27">
        <v>7</v>
      </c>
      <c r="AW56" s="27">
        <v>10</v>
      </c>
      <c r="AX56" s="27">
        <v>10</v>
      </c>
      <c r="AY56" s="27">
        <v>10</v>
      </c>
      <c r="AZ56" s="27">
        <v>8</v>
      </c>
      <c r="BA56" s="27">
        <v>9</v>
      </c>
      <c r="BB56" s="27" t="s">
        <v>227</v>
      </c>
      <c r="BC56" s="27" t="s">
        <v>195</v>
      </c>
      <c r="BD56" s="27" t="s">
        <v>183</v>
      </c>
      <c r="BE56" s="27" t="s">
        <v>234</v>
      </c>
      <c r="BF56" s="27" t="s">
        <v>568</v>
      </c>
      <c r="BG56" s="27" t="s">
        <v>569</v>
      </c>
      <c r="BH56" s="11"/>
      <c r="BI56" s="11"/>
      <c r="BJ56" s="11"/>
    </row>
    <row r="57" spans="1:62" ht="15.75" customHeight="1" x14ac:dyDescent="0.2">
      <c r="A57" s="27">
        <v>51</v>
      </c>
      <c r="B57" s="28">
        <v>45742.553749999999</v>
      </c>
      <c r="C57" s="28" t="s">
        <v>792</v>
      </c>
      <c r="D57" s="27" t="s">
        <v>261</v>
      </c>
      <c r="E57" s="27" t="s">
        <v>193</v>
      </c>
      <c r="F57" s="27" t="s">
        <v>205</v>
      </c>
      <c r="G57" s="27" t="s">
        <v>201</v>
      </c>
      <c r="H57" s="27" t="s">
        <v>187</v>
      </c>
      <c r="I57" s="27" t="s">
        <v>198</v>
      </c>
      <c r="J57" s="27" t="s">
        <v>8</v>
      </c>
      <c r="K57" s="27" t="s">
        <v>7</v>
      </c>
      <c r="L57" s="27" t="s">
        <v>9</v>
      </c>
      <c r="M57" s="27" t="s">
        <v>7</v>
      </c>
      <c r="N57" s="27" t="s">
        <v>8</v>
      </c>
      <c r="O57" s="27" t="s">
        <v>9</v>
      </c>
      <c r="P57" s="27" t="s">
        <v>6</v>
      </c>
      <c r="Q57" s="27" t="s">
        <v>6</v>
      </c>
      <c r="R57" s="27" t="s">
        <v>8</v>
      </c>
      <c r="S57" s="27" t="s">
        <v>6</v>
      </c>
      <c r="T57" s="27" t="s">
        <v>7</v>
      </c>
      <c r="U57" s="27" t="s">
        <v>7</v>
      </c>
      <c r="V57" s="27" t="s">
        <v>6</v>
      </c>
      <c r="W57" s="27" t="s">
        <v>7</v>
      </c>
      <c r="X57" s="27" t="s">
        <v>7</v>
      </c>
      <c r="Y57" s="27" t="s">
        <v>7</v>
      </c>
      <c r="Z57" s="27" t="s">
        <v>7</v>
      </c>
      <c r="AA57" s="27" t="s">
        <v>7</v>
      </c>
      <c r="AB57" s="27" t="s">
        <v>7</v>
      </c>
      <c r="AC57" s="27" t="s">
        <v>7</v>
      </c>
      <c r="AD57" s="27" t="s">
        <v>8</v>
      </c>
      <c r="AE57" s="27" t="s">
        <v>8</v>
      </c>
      <c r="AF57" s="27" t="s">
        <v>9</v>
      </c>
      <c r="AG57" s="27" t="s">
        <v>7</v>
      </c>
      <c r="AH57" s="27" t="s">
        <v>6</v>
      </c>
      <c r="AI57" s="27" t="s">
        <v>6</v>
      </c>
      <c r="AJ57" s="27" t="s">
        <v>7</v>
      </c>
      <c r="AK57" s="27" t="s">
        <v>7</v>
      </c>
      <c r="AL57" s="27" t="s">
        <v>6</v>
      </c>
      <c r="AM57" s="27" t="s">
        <v>7</v>
      </c>
      <c r="AN57" s="27" t="s">
        <v>7</v>
      </c>
      <c r="AO57" s="27" t="s">
        <v>6</v>
      </c>
      <c r="AP57" s="27" t="s">
        <v>9</v>
      </c>
      <c r="AQ57" s="27" t="s">
        <v>7</v>
      </c>
      <c r="AR57" s="27" t="s">
        <v>7</v>
      </c>
      <c r="AS57" s="27" t="s">
        <v>7</v>
      </c>
      <c r="AT57" s="27" t="s">
        <v>7</v>
      </c>
      <c r="AU57" s="27" t="s">
        <v>6</v>
      </c>
      <c r="AV57" s="27">
        <v>5</v>
      </c>
      <c r="AW57" s="27">
        <v>5</v>
      </c>
      <c r="AX57" s="27">
        <v>7</v>
      </c>
      <c r="AY57" s="27">
        <v>9</v>
      </c>
      <c r="AZ57" s="27">
        <v>7</v>
      </c>
      <c r="BA57" s="27">
        <v>6</v>
      </c>
      <c r="BB57" s="27" t="s">
        <v>209</v>
      </c>
      <c r="BC57" s="27" t="s">
        <v>360</v>
      </c>
      <c r="BD57" s="27" t="s">
        <v>221</v>
      </c>
      <c r="BE57" s="27" t="s">
        <v>570</v>
      </c>
      <c r="BF57" s="27" t="s">
        <v>571</v>
      </c>
      <c r="BG57" s="27" t="s">
        <v>572</v>
      </c>
      <c r="BH57" s="11"/>
      <c r="BI57" s="11"/>
      <c r="BJ57" s="11"/>
    </row>
    <row r="58" spans="1:62" ht="15.75" customHeight="1" x14ac:dyDescent="0.2">
      <c r="A58" s="27">
        <v>52</v>
      </c>
      <c r="B58" s="28">
        <v>45742.554237627315</v>
      </c>
      <c r="C58" s="28" t="s">
        <v>790</v>
      </c>
      <c r="D58" s="27" t="s">
        <v>325</v>
      </c>
      <c r="E58" s="27" t="s">
        <v>177</v>
      </c>
      <c r="F58" s="27" t="s">
        <v>200</v>
      </c>
      <c r="G58" s="27" t="s">
        <v>201</v>
      </c>
      <c r="H58" s="27" t="s">
        <v>187</v>
      </c>
      <c r="I58" s="27" t="s">
        <v>208</v>
      </c>
      <c r="J58" s="27" t="s">
        <v>8</v>
      </c>
      <c r="K58" s="27" t="s">
        <v>8</v>
      </c>
      <c r="L58" s="27" t="s">
        <v>9</v>
      </c>
      <c r="M58" s="27" t="s">
        <v>9</v>
      </c>
      <c r="N58" s="27" t="s">
        <v>9</v>
      </c>
      <c r="O58" s="27" t="s">
        <v>9</v>
      </c>
      <c r="P58" s="27" t="s">
        <v>8</v>
      </c>
      <c r="Q58" s="27" t="s">
        <v>8</v>
      </c>
      <c r="R58" s="27" t="s">
        <v>9</v>
      </c>
      <c r="S58" s="30" t="s">
        <v>9</v>
      </c>
      <c r="T58" s="30" t="s">
        <v>9</v>
      </c>
      <c r="U58" s="30" t="s">
        <v>7</v>
      </c>
      <c r="V58" s="30" t="s">
        <v>7</v>
      </c>
      <c r="W58" s="30" t="s">
        <v>9</v>
      </c>
      <c r="X58" s="30" t="s">
        <v>9</v>
      </c>
      <c r="Y58" s="30" t="s">
        <v>7</v>
      </c>
      <c r="Z58" s="30" t="s">
        <v>9</v>
      </c>
      <c r="AA58" s="30" t="s">
        <v>9</v>
      </c>
      <c r="AB58" s="30" t="s">
        <v>9</v>
      </c>
      <c r="AC58" s="30" t="s">
        <v>9</v>
      </c>
      <c r="AD58" s="30" t="s">
        <v>9</v>
      </c>
      <c r="AE58" s="30" t="s">
        <v>9</v>
      </c>
      <c r="AF58" s="30" t="s">
        <v>8</v>
      </c>
      <c r="AG58" s="30" t="s">
        <v>8</v>
      </c>
      <c r="AH58" s="30" t="s">
        <v>8</v>
      </c>
      <c r="AI58" s="30" t="s">
        <v>8</v>
      </c>
      <c r="AJ58" s="30" t="s">
        <v>9</v>
      </c>
      <c r="AK58" s="30" t="s">
        <v>9</v>
      </c>
      <c r="AL58" s="30" t="s">
        <v>9</v>
      </c>
      <c r="AM58" s="27" t="s">
        <v>9</v>
      </c>
      <c r="AN58" s="27" t="s">
        <v>9</v>
      </c>
      <c r="AO58" s="27" t="s">
        <v>8</v>
      </c>
      <c r="AP58" s="27" t="s">
        <v>9</v>
      </c>
      <c r="AQ58" s="27" t="s">
        <v>9</v>
      </c>
      <c r="AR58" s="27" t="s">
        <v>9</v>
      </c>
      <c r="AS58" s="27" t="s">
        <v>9</v>
      </c>
      <c r="AT58" s="27" t="s">
        <v>9</v>
      </c>
      <c r="AU58" s="27" t="s">
        <v>9</v>
      </c>
      <c r="AV58" s="27">
        <v>9</v>
      </c>
      <c r="AW58" s="27">
        <v>9</v>
      </c>
      <c r="AX58" s="27">
        <v>9</v>
      </c>
      <c r="AY58" s="27">
        <v>9</v>
      </c>
      <c r="AZ58" s="27">
        <v>9</v>
      </c>
      <c r="BA58" s="27">
        <v>7</v>
      </c>
      <c r="BB58" s="27" t="s">
        <v>206</v>
      </c>
      <c r="BC58" s="27" t="s">
        <v>214</v>
      </c>
      <c r="BD58" s="27" t="s">
        <v>183</v>
      </c>
      <c r="BE58" s="27" t="s">
        <v>573</v>
      </c>
      <c r="BF58" s="27" t="s">
        <v>574</v>
      </c>
      <c r="BG58" s="27" t="s">
        <v>575</v>
      </c>
      <c r="BH58" s="11"/>
      <c r="BI58" s="11"/>
      <c r="BJ58" s="11"/>
    </row>
    <row r="59" spans="1:62" ht="15.75" customHeight="1" x14ac:dyDescent="0.2">
      <c r="A59" s="27">
        <v>53</v>
      </c>
      <c r="B59" s="28">
        <v>45742.55456679398</v>
      </c>
      <c r="C59" s="28" t="s">
        <v>790</v>
      </c>
      <c r="D59" s="27" t="s">
        <v>324</v>
      </c>
      <c r="E59" s="27" t="s">
        <v>217</v>
      </c>
      <c r="F59" s="27" t="s">
        <v>178</v>
      </c>
      <c r="G59" s="27" t="s">
        <v>201</v>
      </c>
      <c r="H59" s="27" t="s">
        <v>223</v>
      </c>
      <c r="I59" s="27" t="s">
        <v>198</v>
      </c>
      <c r="J59" s="27" t="s">
        <v>9</v>
      </c>
      <c r="K59" s="27" t="s">
        <v>9</v>
      </c>
      <c r="L59" s="27" t="s">
        <v>9</v>
      </c>
      <c r="M59" s="27" t="s">
        <v>8</v>
      </c>
      <c r="N59" s="27" t="s">
        <v>8</v>
      </c>
      <c r="O59" s="27" t="s">
        <v>9</v>
      </c>
      <c r="P59" s="27" t="s">
        <v>9</v>
      </c>
      <c r="Q59" s="27" t="s">
        <v>9</v>
      </c>
      <c r="R59" s="27" t="s">
        <v>9</v>
      </c>
      <c r="S59" s="27" t="s">
        <v>9</v>
      </c>
      <c r="T59" s="27" t="s">
        <v>9</v>
      </c>
      <c r="U59" s="27" t="s">
        <v>9</v>
      </c>
      <c r="V59" s="27" t="s">
        <v>9</v>
      </c>
      <c r="W59" s="27" t="s">
        <v>9</v>
      </c>
      <c r="X59" s="27" t="s">
        <v>9</v>
      </c>
      <c r="Y59" s="27" t="s">
        <v>9</v>
      </c>
      <c r="Z59" s="27" t="s">
        <v>9</v>
      </c>
      <c r="AA59" s="27" t="s">
        <v>9</v>
      </c>
      <c r="AB59" s="27" t="s">
        <v>9</v>
      </c>
      <c r="AC59" s="27" t="s">
        <v>9</v>
      </c>
      <c r="AD59" s="27" t="s">
        <v>9</v>
      </c>
      <c r="AE59" s="27" t="s">
        <v>9</v>
      </c>
      <c r="AF59" s="27" t="s">
        <v>8</v>
      </c>
      <c r="AG59" s="27" t="s">
        <v>7</v>
      </c>
      <c r="AH59" s="27" t="s">
        <v>6</v>
      </c>
      <c r="AI59" s="27" t="s">
        <v>6</v>
      </c>
      <c r="AJ59" s="27" t="s">
        <v>8</v>
      </c>
      <c r="AK59" s="27" t="s">
        <v>8</v>
      </c>
      <c r="AL59" s="27" t="s">
        <v>9</v>
      </c>
      <c r="AM59" s="27" t="s">
        <v>9</v>
      </c>
      <c r="AN59" s="27" t="s">
        <v>9</v>
      </c>
      <c r="AO59" s="27" t="s">
        <v>7</v>
      </c>
      <c r="AP59" s="27" t="s">
        <v>9</v>
      </c>
      <c r="AQ59" s="27" t="s">
        <v>8</v>
      </c>
      <c r="AR59" s="27" t="s">
        <v>9</v>
      </c>
      <c r="AS59" s="27" t="s">
        <v>9</v>
      </c>
      <c r="AT59" s="27" t="s">
        <v>9</v>
      </c>
      <c r="AU59" s="27" t="s">
        <v>9</v>
      </c>
      <c r="AV59" s="27">
        <v>9</v>
      </c>
      <c r="AW59" s="27">
        <v>9</v>
      </c>
      <c r="AX59" s="27">
        <v>9</v>
      </c>
      <c r="AY59" s="27">
        <v>9</v>
      </c>
      <c r="AZ59" s="27">
        <v>9</v>
      </c>
      <c r="BA59" s="27">
        <v>9</v>
      </c>
      <c r="BB59" s="27" t="s">
        <v>199</v>
      </c>
      <c r="BC59" s="27" t="s">
        <v>211</v>
      </c>
      <c r="BD59" s="27" t="s">
        <v>191</v>
      </c>
      <c r="BE59" s="27" t="s">
        <v>576</v>
      </c>
      <c r="BF59" s="27" t="s">
        <v>577</v>
      </c>
      <c r="BG59" s="27" t="s">
        <v>578</v>
      </c>
      <c r="BH59" s="11"/>
      <c r="BI59" s="11"/>
      <c r="BJ59" s="11"/>
    </row>
    <row r="60" spans="1:62" ht="15.75" customHeight="1" x14ac:dyDescent="0.2">
      <c r="A60" s="27">
        <v>54</v>
      </c>
      <c r="B60" s="28">
        <v>45742.609371678242</v>
      </c>
      <c r="C60" s="28" t="s">
        <v>790</v>
      </c>
      <c r="D60" s="27" t="s">
        <v>325</v>
      </c>
      <c r="E60" s="27" t="s">
        <v>217</v>
      </c>
      <c r="F60" s="27" t="s">
        <v>178</v>
      </c>
      <c r="G60" s="27" t="s">
        <v>201</v>
      </c>
      <c r="H60" s="27" t="s">
        <v>223</v>
      </c>
      <c r="I60" s="27" t="s">
        <v>194</v>
      </c>
      <c r="J60" s="27" t="s">
        <v>9</v>
      </c>
      <c r="K60" s="27" t="s">
        <v>9</v>
      </c>
      <c r="L60" s="27" t="s">
        <v>9</v>
      </c>
      <c r="M60" s="27" t="s">
        <v>8</v>
      </c>
      <c r="N60" s="27" t="s">
        <v>8</v>
      </c>
      <c r="O60" s="27" t="s">
        <v>8</v>
      </c>
      <c r="P60" s="27" t="s">
        <v>9</v>
      </c>
      <c r="Q60" s="27" t="s">
        <v>9</v>
      </c>
      <c r="R60" s="27" t="s">
        <v>9</v>
      </c>
      <c r="S60" s="27" t="s">
        <v>9</v>
      </c>
      <c r="T60" s="27" t="s">
        <v>9</v>
      </c>
      <c r="U60" s="27" t="s">
        <v>9</v>
      </c>
      <c r="V60" s="27" t="s">
        <v>9</v>
      </c>
      <c r="W60" s="27" t="s">
        <v>9</v>
      </c>
      <c r="X60" s="27" t="s">
        <v>9</v>
      </c>
      <c r="Y60" s="27" t="s">
        <v>9</v>
      </c>
      <c r="Z60" s="27" t="s">
        <v>9</v>
      </c>
      <c r="AA60" s="27" t="s">
        <v>9</v>
      </c>
      <c r="AB60" s="27" t="s">
        <v>9</v>
      </c>
      <c r="AC60" s="27" t="s">
        <v>9</v>
      </c>
      <c r="AD60" s="27" t="s">
        <v>9</v>
      </c>
      <c r="AE60" s="27" t="s">
        <v>9</v>
      </c>
      <c r="AF60" s="27" t="s">
        <v>9</v>
      </c>
      <c r="AG60" s="27" t="s">
        <v>8</v>
      </c>
      <c r="AH60" s="27" t="s">
        <v>7</v>
      </c>
      <c r="AI60" s="27" t="s">
        <v>6</v>
      </c>
      <c r="AJ60" s="27" t="s">
        <v>9</v>
      </c>
      <c r="AK60" s="27" t="s">
        <v>8</v>
      </c>
      <c r="AL60" s="27" t="s">
        <v>8</v>
      </c>
      <c r="AM60" s="27" t="s">
        <v>8</v>
      </c>
      <c r="AN60" s="27" t="s">
        <v>9</v>
      </c>
      <c r="AO60" s="27" t="s">
        <v>9</v>
      </c>
      <c r="AP60" s="27" t="s">
        <v>9</v>
      </c>
      <c r="AQ60" s="27" t="s">
        <v>9</v>
      </c>
      <c r="AR60" s="27" t="s">
        <v>8</v>
      </c>
      <c r="AS60" s="27" t="s">
        <v>9</v>
      </c>
      <c r="AT60" s="27" t="s">
        <v>9</v>
      </c>
      <c r="AU60" s="27" t="s">
        <v>9</v>
      </c>
      <c r="AV60" s="27">
        <v>8</v>
      </c>
      <c r="AW60" s="27">
        <v>7</v>
      </c>
      <c r="AX60" s="27">
        <v>8</v>
      </c>
      <c r="AY60" s="27">
        <v>8</v>
      </c>
      <c r="AZ60" s="27">
        <v>10</v>
      </c>
      <c r="BA60" s="27">
        <v>9</v>
      </c>
      <c r="BB60" s="27" t="s">
        <v>219</v>
      </c>
      <c r="BC60" s="27" t="s">
        <v>225</v>
      </c>
      <c r="BD60" s="27" t="s">
        <v>235</v>
      </c>
      <c r="BE60" s="27" t="s">
        <v>579</v>
      </c>
      <c r="BF60" s="27" t="s">
        <v>580</v>
      </c>
      <c r="BG60" s="27" t="s">
        <v>581</v>
      </c>
      <c r="BH60" s="11"/>
      <c r="BI60" s="11"/>
      <c r="BJ60" s="11"/>
    </row>
    <row r="61" spans="1:62" ht="15.75" customHeight="1" x14ac:dyDescent="0.2">
      <c r="A61" s="27">
        <v>55</v>
      </c>
      <c r="B61" s="28">
        <v>45742.610013935184</v>
      </c>
      <c r="C61" s="28" t="s">
        <v>790</v>
      </c>
      <c r="D61" s="27" t="s">
        <v>324</v>
      </c>
      <c r="E61" s="27" t="s">
        <v>185</v>
      </c>
      <c r="F61" s="27" t="s">
        <v>178</v>
      </c>
      <c r="G61" s="27" t="s">
        <v>201</v>
      </c>
      <c r="H61" s="27" t="s">
        <v>187</v>
      </c>
      <c r="I61" s="27" t="s">
        <v>208</v>
      </c>
      <c r="J61" s="27" t="s">
        <v>9</v>
      </c>
      <c r="K61" s="27" t="s">
        <v>9</v>
      </c>
      <c r="L61" s="27" t="s">
        <v>9</v>
      </c>
      <c r="M61" s="27" t="s">
        <v>9</v>
      </c>
      <c r="N61" s="27" t="s">
        <v>9</v>
      </c>
      <c r="O61" s="27" t="s">
        <v>9</v>
      </c>
      <c r="P61" s="27" t="s">
        <v>9</v>
      </c>
      <c r="Q61" s="27" t="s">
        <v>9</v>
      </c>
      <c r="R61" s="27" t="s">
        <v>9</v>
      </c>
      <c r="S61" s="27" t="s">
        <v>9</v>
      </c>
      <c r="T61" s="27" t="s">
        <v>9</v>
      </c>
      <c r="U61" s="27" t="s">
        <v>9</v>
      </c>
      <c r="V61" s="27" t="s">
        <v>8</v>
      </c>
      <c r="W61" s="27" t="s">
        <v>9</v>
      </c>
      <c r="X61" s="27" t="s">
        <v>9</v>
      </c>
      <c r="Y61" s="27" t="s">
        <v>8</v>
      </c>
      <c r="Z61" s="27" t="s">
        <v>9</v>
      </c>
      <c r="AA61" s="27" t="s">
        <v>9</v>
      </c>
      <c r="AB61" s="27" t="s">
        <v>9</v>
      </c>
      <c r="AC61" s="27" t="s">
        <v>9</v>
      </c>
      <c r="AD61" s="27" t="s">
        <v>9</v>
      </c>
      <c r="AE61" s="27" t="s">
        <v>9</v>
      </c>
      <c r="AF61" s="27" t="s">
        <v>9</v>
      </c>
      <c r="AG61" s="27" t="s">
        <v>9</v>
      </c>
      <c r="AH61" s="27" t="s">
        <v>9</v>
      </c>
      <c r="AI61" s="27" t="s">
        <v>9</v>
      </c>
      <c r="AJ61" s="27" t="s">
        <v>9</v>
      </c>
      <c r="AK61" s="27" t="s">
        <v>9</v>
      </c>
      <c r="AL61" s="27" t="s">
        <v>9</v>
      </c>
      <c r="AM61" s="27" t="s">
        <v>9</v>
      </c>
      <c r="AN61" s="27" t="s">
        <v>9</v>
      </c>
      <c r="AO61" s="27" t="s">
        <v>9</v>
      </c>
      <c r="AP61" s="27" t="s">
        <v>9</v>
      </c>
      <c r="AQ61" s="27" t="s">
        <v>9</v>
      </c>
      <c r="AR61" s="27" t="s">
        <v>9</v>
      </c>
      <c r="AS61" s="27" t="s">
        <v>9</v>
      </c>
      <c r="AT61" s="27" t="s">
        <v>8</v>
      </c>
      <c r="AU61" s="27" t="s">
        <v>9</v>
      </c>
      <c r="AV61" s="27">
        <v>10</v>
      </c>
      <c r="AW61" s="27">
        <v>10</v>
      </c>
      <c r="AX61" s="27">
        <v>10</v>
      </c>
      <c r="AY61" s="27">
        <v>9</v>
      </c>
      <c r="AZ61" s="27">
        <v>10</v>
      </c>
      <c r="BA61" s="27">
        <v>10</v>
      </c>
      <c r="BB61" s="27" t="s">
        <v>232</v>
      </c>
      <c r="BC61" s="27" t="s">
        <v>214</v>
      </c>
      <c r="BD61" s="27" t="s">
        <v>233</v>
      </c>
      <c r="BE61" s="27" t="s">
        <v>582</v>
      </c>
      <c r="BF61" s="27" t="s">
        <v>583</v>
      </c>
      <c r="BG61" s="27" t="s">
        <v>584</v>
      </c>
      <c r="BH61" s="11"/>
      <c r="BI61" s="11"/>
      <c r="BJ61" s="11"/>
    </row>
    <row r="62" spans="1:62" ht="15.75" customHeight="1" x14ac:dyDescent="0.2">
      <c r="A62" s="27">
        <v>56</v>
      </c>
      <c r="B62" s="28">
        <v>45742.618505740742</v>
      </c>
      <c r="C62" s="28" t="s">
        <v>788</v>
      </c>
      <c r="D62" s="27" t="s">
        <v>176</v>
      </c>
      <c r="E62" s="27" t="s">
        <v>217</v>
      </c>
      <c r="F62" s="27" t="s">
        <v>200</v>
      </c>
      <c r="G62" s="27" t="s">
        <v>179</v>
      </c>
      <c r="H62" s="27" t="s">
        <v>187</v>
      </c>
      <c r="I62" s="27" t="s">
        <v>181</v>
      </c>
      <c r="J62" s="27" t="s">
        <v>8</v>
      </c>
      <c r="K62" s="27" t="s">
        <v>8</v>
      </c>
      <c r="L62" s="27" t="s">
        <v>8</v>
      </c>
      <c r="M62" s="27" t="s">
        <v>8</v>
      </c>
      <c r="N62" s="27" t="s">
        <v>8</v>
      </c>
      <c r="O62" s="27" t="s">
        <v>8</v>
      </c>
      <c r="P62" s="27" t="s">
        <v>7</v>
      </c>
      <c r="Q62" s="27" t="s">
        <v>9</v>
      </c>
      <c r="R62" s="27" t="s">
        <v>8</v>
      </c>
      <c r="S62" s="27" t="s">
        <v>9</v>
      </c>
      <c r="T62" s="27" t="s">
        <v>9</v>
      </c>
      <c r="U62" s="27" t="s">
        <v>8</v>
      </c>
      <c r="V62" s="27" t="s">
        <v>7</v>
      </c>
      <c r="W62" s="27" t="s">
        <v>7</v>
      </c>
      <c r="X62" s="27" t="s">
        <v>8</v>
      </c>
      <c r="Y62" s="27" t="s">
        <v>8</v>
      </c>
      <c r="Z62" s="27" t="s">
        <v>8</v>
      </c>
      <c r="AA62" s="27" t="s">
        <v>8</v>
      </c>
      <c r="AB62" s="27" t="s">
        <v>8</v>
      </c>
      <c r="AC62" s="27" t="s">
        <v>8</v>
      </c>
      <c r="AD62" s="27" t="s">
        <v>9</v>
      </c>
      <c r="AE62" s="27" t="s">
        <v>9</v>
      </c>
      <c r="AF62" s="27" t="s">
        <v>8</v>
      </c>
      <c r="AG62" s="27" t="s">
        <v>7</v>
      </c>
      <c r="AH62" s="27" t="s">
        <v>6</v>
      </c>
      <c r="AI62" s="27" t="s">
        <v>6</v>
      </c>
      <c r="AJ62" s="27" t="s">
        <v>8</v>
      </c>
      <c r="AK62" s="27" t="s">
        <v>8</v>
      </c>
      <c r="AL62" s="27" t="s">
        <v>7</v>
      </c>
      <c r="AM62" s="27" t="s">
        <v>7</v>
      </c>
      <c r="AN62" s="27" t="s">
        <v>6</v>
      </c>
      <c r="AO62" s="27" t="s">
        <v>7</v>
      </c>
      <c r="AP62" s="27" t="s">
        <v>8</v>
      </c>
      <c r="AQ62" s="27" t="s">
        <v>8</v>
      </c>
      <c r="AR62" s="27" t="s">
        <v>8</v>
      </c>
      <c r="AS62" s="27" t="s">
        <v>8</v>
      </c>
      <c r="AT62" s="27" t="s">
        <v>8</v>
      </c>
      <c r="AU62" s="27" t="s">
        <v>8</v>
      </c>
      <c r="AV62" s="27">
        <v>7</v>
      </c>
      <c r="AW62" s="27">
        <v>7</v>
      </c>
      <c r="AX62" s="27">
        <v>5</v>
      </c>
      <c r="AY62" s="27">
        <v>7</v>
      </c>
      <c r="AZ62" s="27">
        <v>6</v>
      </c>
      <c r="BA62" s="27">
        <v>8</v>
      </c>
      <c r="BB62" s="27" t="s">
        <v>252</v>
      </c>
      <c r="BC62" s="27" t="s">
        <v>190</v>
      </c>
      <c r="BD62" s="27" t="s">
        <v>191</v>
      </c>
      <c r="BE62" s="27" t="s">
        <v>585</v>
      </c>
      <c r="BF62" s="27" t="s">
        <v>586</v>
      </c>
      <c r="BG62" s="27" t="s">
        <v>587</v>
      </c>
    </row>
    <row r="63" spans="1:62" ht="15.75" customHeight="1" x14ac:dyDescent="0.2">
      <c r="A63" s="27">
        <v>57</v>
      </c>
      <c r="B63" s="28">
        <v>45742.645879340278</v>
      </c>
      <c r="C63" s="28" t="s">
        <v>790</v>
      </c>
      <c r="D63" s="27" t="s">
        <v>325</v>
      </c>
      <c r="E63" s="27" t="s">
        <v>185</v>
      </c>
      <c r="F63" s="27" t="s">
        <v>200</v>
      </c>
      <c r="G63" s="27" t="s">
        <v>201</v>
      </c>
      <c r="H63" s="27" t="s">
        <v>187</v>
      </c>
      <c r="I63" s="27" t="s">
        <v>198</v>
      </c>
      <c r="J63" s="27" t="s">
        <v>9</v>
      </c>
      <c r="K63" s="27" t="s">
        <v>9</v>
      </c>
      <c r="L63" s="27" t="s">
        <v>9</v>
      </c>
      <c r="M63" s="27" t="s">
        <v>8</v>
      </c>
      <c r="N63" s="27" t="s">
        <v>9</v>
      </c>
      <c r="O63" s="27" t="s">
        <v>9</v>
      </c>
      <c r="P63" s="27" t="s">
        <v>8</v>
      </c>
      <c r="Q63" s="27" t="s">
        <v>8</v>
      </c>
      <c r="R63" s="27" t="s">
        <v>8</v>
      </c>
      <c r="S63" s="27" t="s">
        <v>8</v>
      </c>
      <c r="T63" s="27" t="s">
        <v>8</v>
      </c>
      <c r="U63" s="27" t="s">
        <v>9</v>
      </c>
      <c r="V63" s="27" t="s">
        <v>8</v>
      </c>
      <c r="W63" s="27" t="s">
        <v>9</v>
      </c>
      <c r="X63" s="27" t="s">
        <v>9</v>
      </c>
      <c r="Y63" s="27" t="s">
        <v>9</v>
      </c>
      <c r="Z63" s="27" t="s">
        <v>8</v>
      </c>
      <c r="AA63" s="27" t="s">
        <v>8</v>
      </c>
      <c r="AB63" s="27" t="s">
        <v>9</v>
      </c>
      <c r="AC63" s="27" t="s">
        <v>9</v>
      </c>
      <c r="AD63" s="27" t="s">
        <v>8</v>
      </c>
      <c r="AE63" s="27" t="s">
        <v>9</v>
      </c>
      <c r="AF63" s="27" t="s">
        <v>8</v>
      </c>
      <c r="AG63" s="27" t="s">
        <v>7</v>
      </c>
      <c r="AH63" s="27" t="s">
        <v>8</v>
      </c>
      <c r="AI63" s="27" t="s">
        <v>8</v>
      </c>
      <c r="AJ63" s="27" t="s">
        <v>9</v>
      </c>
      <c r="AK63" s="27" t="s">
        <v>9</v>
      </c>
      <c r="AL63" s="27" t="s">
        <v>9</v>
      </c>
      <c r="AM63" s="27" t="s">
        <v>9</v>
      </c>
      <c r="AN63" s="27" t="s">
        <v>8</v>
      </c>
      <c r="AO63" s="27" t="s">
        <v>8</v>
      </c>
      <c r="AP63" s="27" t="s">
        <v>9</v>
      </c>
      <c r="AQ63" s="27" t="s">
        <v>8</v>
      </c>
      <c r="AR63" s="27" t="s">
        <v>8</v>
      </c>
      <c r="AS63" s="27" t="s">
        <v>9</v>
      </c>
      <c r="AT63" s="27" t="s">
        <v>9</v>
      </c>
      <c r="AU63" s="27" t="s">
        <v>8</v>
      </c>
      <c r="AV63" s="27">
        <v>9</v>
      </c>
      <c r="AW63" s="27">
        <v>8</v>
      </c>
      <c r="AX63" s="27">
        <v>9</v>
      </c>
      <c r="AY63" s="27">
        <v>9</v>
      </c>
      <c r="AZ63" s="27">
        <v>9</v>
      </c>
      <c r="BA63" s="27">
        <v>9</v>
      </c>
      <c r="BB63" s="27" t="s">
        <v>189</v>
      </c>
      <c r="BC63" s="27" t="s">
        <v>214</v>
      </c>
      <c r="BD63" s="27" t="s">
        <v>251</v>
      </c>
      <c r="BE63" s="27" t="s">
        <v>588</v>
      </c>
      <c r="BF63" s="27" t="s">
        <v>589</v>
      </c>
      <c r="BG63" s="27" t="s">
        <v>590</v>
      </c>
    </row>
    <row r="64" spans="1:62" ht="15.75" customHeight="1" x14ac:dyDescent="0.2">
      <c r="A64" s="27">
        <v>58</v>
      </c>
      <c r="B64" s="28">
        <v>45742.648026388888</v>
      </c>
      <c r="C64" s="28" t="s">
        <v>790</v>
      </c>
      <c r="D64" s="27" t="s">
        <v>324</v>
      </c>
      <c r="E64" s="27" t="s">
        <v>236</v>
      </c>
      <c r="F64" s="27" t="s">
        <v>200</v>
      </c>
      <c r="G64" s="27" t="s">
        <v>179</v>
      </c>
      <c r="H64" s="27" t="s">
        <v>180</v>
      </c>
      <c r="I64" s="27" t="s">
        <v>198</v>
      </c>
      <c r="J64" s="27" t="s">
        <v>8</v>
      </c>
      <c r="K64" s="27" t="s">
        <v>8</v>
      </c>
      <c r="L64" s="27" t="s">
        <v>9</v>
      </c>
      <c r="M64" s="27" t="s">
        <v>8</v>
      </c>
      <c r="N64" s="27" t="s">
        <v>8</v>
      </c>
      <c r="O64" s="27" t="s">
        <v>8</v>
      </c>
      <c r="P64" s="27" t="s">
        <v>8</v>
      </c>
      <c r="Q64" s="27" t="s">
        <v>8</v>
      </c>
      <c r="R64" s="27" t="s">
        <v>8</v>
      </c>
      <c r="S64" s="27" t="s">
        <v>8</v>
      </c>
      <c r="T64" s="27" t="s">
        <v>8</v>
      </c>
      <c r="U64" s="27" t="s">
        <v>7</v>
      </c>
      <c r="V64" s="27" t="s">
        <v>7</v>
      </c>
      <c r="W64" s="27" t="s">
        <v>7</v>
      </c>
      <c r="X64" s="27" t="s">
        <v>8</v>
      </c>
      <c r="Y64" s="27" t="s">
        <v>7</v>
      </c>
      <c r="Z64" s="27" t="s">
        <v>8</v>
      </c>
      <c r="AA64" s="27" t="s">
        <v>8</v>
      </c>
      <c r="AB64" s="27" t="s">
        <v>7</v>
      </c>
      <c r="AC64" s="27" t="s">
        <v>8</v>
      </c>
      <c r="AD64" s="27" t="s">
        <v>8</v>
      </c>
      <c r="AE64" s="27" t="s">
        <v>8</v>
      </c>
      <c r="AF64" s="27" t="s">
        <v>8</v>
      </c>
      <c r="AG64" s="27" t="s">
        <v>6</v>
      </c>
      <c r="AH64" s="27" t="s">
        <v>8</v>
      </c>
      <c r="AI64" s="27" t="s">
        <v>7</v>
      </c>
      <c r="AJ64" s="27" t="s">
        <v>8</v>
      </c>
      <c r="AK64" s="27" t="s">
        <v>8</v>
      </c>
      <c r="AL64" s="27" t="s">
        <v>7</v>
      </c>
      <c r="AM64" s="27" t="s">
        <v>8</v>
      </c>
      <c r="AN64" s="27" t="s">
        <v>8</v>
      </c>
      <c r="AO64" s="27" t="s">
        <v>7</v>
      </c>
      <c r="AP64" s="27" t="s">
        <v>7</v>
      </c>
      <c r="AQ64" s="27" t="s">
        <v>7</v>
      </c>
      <c r="AR64" s="27" t="s">
        <v>8</v>
      </c>
      <c r="AS64" s="27" t="s">
        <v>8</v>
      </c>
      <c r="AT64" s="27" t="s">
        <v>7</v>
      </c>
      <c r="AU64" s="27" t="s">
        <v>8</v>
      </c>
      <c r="AV64" s="27">
        <v>8</v>
      </c>
      <c r="AW64" s="27">
        <v>9</v>
      </c>
      <c r="AX64" s="27">
        <v>9</v>
      </c>
      <c r="AY64" s="27">
        <v>8</v>
      </c>
      <c r="AZ64" s="27">
        <v>9</v>
      </c>
      <c r="BA64" s="27">
        <v>8</v>
      </c>
      <c r="BB64" s="27" t="s">
        <v>385</v>
      </c>
      <c r="BC64" s="27" t="s">
        <v>225</v>
      </c>
      <c r="BD64" s="27" t="s">
        <v>386</v>
      </c>
      <c r="BE64" s="27" t="s">
        <v>591</v>
      </c>
      <c r="BF64" s="27" t="s">
        <v>592</v>
      </c>
      <c r="BG64" s="27" t="s">
        <v>593</v>
      </c>
    </row>
    <row r="65" spans="1:59" ht="15.75" customHeight="1" x14ac:dyDescent="0.2">
      <c r="A65" s="27">
        <v>59</v>
      </c>
      <c r="B65" s="28">
        <v>45742.698499189813</v>
      </c>
      <c r="C65" s="28" t="s">
        <v>791</v>
      </c>
      <c r="D65" s="27" t="s">
        <v>325</v>
      </c>
      <c r="E65" s="27" t="s">
        <v>185</v>
      </c>
      <c r="F65" s="27" t="s">
        <v>186</v>
      </c>
      <c r="G65" s="27" t="s">
        <v>201</v>
      </c>
      <c r="H65" s="27" t="s">
        <v>223</v>
      </c>
      <c r="I65" s="27" t="s">
        <v>194</v>
      </c>
      <c r="J65" s="27" t="s">
        <v>9</v>
      </c>
      <c r="K65" s="27" t="s">
        <v>9</v>
      </c>
      <c r="L65" s="27" t="s">
        <v>9</v>
      </c>
      <c r="M65" s="27" t="s">
        <v>9</v>
      </c>
      <c r="N65" s="27" t="s">
        <v>9</v>
      </c>
      <c r="O65" s="27" t="s">
        <v>9</v>
      </c>
      <c r="P65" s="27" t="s">
        <v>8</v>
      </c>
      <c r="Q65" s="27" t="s">
        <v>9</v>
      </c>
      <c r="R65" s="27" t="s">
        <v>9</v>
      </c>
      <c r="S65" s="27" t="s">
        <v>8</v>
      </c>
      <c r="T65" s="27" t="s">
        <v>9</v>
      </c>
      <c r="U65" s="27" t="s">
        <v>8</v>
      </c>
      <c r="V65" s="27" t="s">
        <v>8</v>
      </c>
      <c r="W65" s="27" t="s">
        <v>9</v>
      </c>
      <c r="X65" s="27" t="s">
        <v>7</v>
      </c>
      <c r="Y65" s="27" t="s">
        <v>7</v>
      </c>
      <c r="Z65" s="27" t="s">
        <v>9</v>
      </c>
      <c r="AA65" s="27" t="s">
        <v>9</v>
      </c>
      <c r="AB65" s="27" t="s">
        <v>9</v>
      </c>
      <c r="AC65" s="27" t="s">
        <v>8</v>
      </c>
      <c r="AD65" s="27" t="s">
        <v>8</v>
      </c>
      <c r="AE65" s="27" t="s">
        <v>9</v>
      </c>
      <c r="AF65" s="27" t="s">
        <v>9</v>
      </c>
      <c r="AG65" s="27" t="s">
        <v>7</v>
      </c>
      <c r="AH65" s="27" t="s">
        <v>7</v>
      </c>
      <c r="AI65" s="27" t="s">
        <v>7</v>
      </c>
      <c r="AJ65" s="27" t="s">
        <v>8</v>
      </c>
      <c r="AK65" s="27" t="s">
        <v>8</v>
      </c>
      <c r="AL65" s="27" t="s">
        <v>9</v>
      </c>
      <c r="AM65" s="27" t="s">
        <v>9</v>
      </c>
      <c r="AN65" s="27" t="s">
        <v>8</v>
      </c>
      <c r="AO65" s="27" t="s">
        <v>7</v>
      </c>
      <c r="AP65" s="27" t="s">
        <v>8</v>
      </c>
      <c r="AQ65" s="27" t="s">
        <v>7</v>
      </c>
      <c r="AR65" s="27" t="s">
        <v>9</v>
      </c>
      <c r="AS65" s="27" t="s">
        <v>9</v>
      </c>
      <c r="AT65" s="27" t="s">
        <v>8</v>
      </c>
      <c r="AU65" s="27" t="s">
        <v>7</v>
      </c>
      <c r="AV65" s="27">
        <v>10</v>
      </c>
      <c r="AW65" s="27">
        <v>10</v>
      </c>
      <c r="AX65" s="27">
        <v>10</v>
      </c>
      <c r="AY65" s="27">
        <v>10</v>
      </c>
      <c r="AZ65" s="27">
        <v>7</v>
      </c>
      <c r="BA65" s="27">
        <v>8</v>
      </c>
      <c r="BB65" s="27" t="s">
        <v>387</v>
      </c>
      <c r="BC65" s="27" t="s">
        <v>195</v>
      </c>
      <c r="BD65" s="27" t="s">
        <v>233</v>
      </c>
      <c r="BE65" s="27" t="s">
        <v>594</v>
      </c>
      <c r="BF65" s="27" t="s">
        <v>595</v>
      </c>
      <c r="BG65" s="27" t="s">
        <v>596</v>
      </c>
    </row>
    <row r="66" spans="1:59" ht="15.75" customHeight="1" x14ac:dyDescent="0.2">
      <c r="A66" s="27">
        <v>60</v>
      </c>
      <c r="B66" s="28">
        <v>45742.709178240737</v>
      </c>
      <c r="C66" s="28" t="s">
        <v>788</v>
      </c>
      <c r="D66" s="27" t="s">
        <v>184</v>
      </c>
      <c r="E66" s="27" t="s">
        <v>193</v>
      </c>
      <c r="F66" s="27" t="s">
        <v>200</v>
      </c>
      <c r="G66" s="27" t="s">
        <v>179</v>
      </c>
      <c r="H66" s="27" t="s">
        <v>180</v>
      </c>
      <c r="I66" s="27" t="s">
        <v>181</v>
      </c>
      <c r="J66" s="27" t="s">
        <v>9</v>
      </c>
      <c r="K66" s="27" t="s">
        <v>7</v>
      </c>
      <c r="L66" s="27" t="s">
        <v>9</v>
      </c>
      <c r="M66" s="27" t="s">
        <v>7</v>
      </c>
      <c r="N66" s="27" t="s">
        <v>7</v>
      </c>
      <c r="O66" s="27" t="s">
        <v>7</v>
      </c>
      <c r="P66" s="27" t="s">
        <v>6</v>
      </c>
      <c r="Q66" s="27" t="s">
        <v>5</v>
      </c>
      <c r="R66" s="27" t="s">
        <v>9</v>
      </c>
      <c r="S66" s="27" t="s">
        <v>5</v>
      </c>
      <c r="T66" s="27" t="s">
        <v>7</v>
      </c>
      <c r="U66" s="27" t="s">
        <v>8</v>
      </c>
      <c r="V66" s="27" t="s">
        <v>5</v>
      </c>
      <c r="W66" s="27" t="s">
        <v>9</v>
      </c>
      <c r="X66" s="27" t="s">
        <v>7</v>
      </c>
      <c r="Y66" s="27" t="s">
        <v>8</v>
      </c>
      <c r="Z66" s="27" t="s">
        <v>7</v>
      </c>
      <c r="AA66" s="27" t="s">
        <v>5</v>
      </c>
      <c r="AB66" s="27" t="s">
        <v>7</v>
      </c>
      <c r="AC66" s="27" t="s">
        <v>7</v>
      </c>
      <c r="AD66" s="27" t="s">
        <v>7</v>
      </c>
      <c r="AE66" s="27" t="s">
        <v>7</v>
      </c>
      <c r="AF66" s="27" t="s">
        <v>8</v>
      </c>
      <c r="AG66" s="27" t="s">
        <v>8</v>
      </c>
      <c r="AH66" s="27" t="s">
        <v>5</v>
      </c>
      <c r="AI66" s="27" t="s">
        <v>8</v>
      </c>
      <c r="AJ66" s="27" t="s">
        <v>7</v>
      </c>
      <c r="AK66" s="27" t="s">
        <v>9</v>
      </c>
      <c r="AL66" s="27" t="s">
        <v>5</v>
      </c>
      <c r="AM66" s="27" t="s">
        <v>7</v>
      </c>
      <c r="AN66" s="27" t="s">
        <v>7</v>
      </c>
      <c r="AO66" s="27" t="s">
        <v>6</v>
      </c>
      <c r="AP66" s="27" t="s">
        <v>9</v>
      </c>
      <c r="AQ66" s="27" t="s">
        <v>7</v>
      </c>
      <c r="AR66" s="27" t="s">
        <v>5</v>
      </c>
      <c r="AS66" s="27" t="s">
        <v>9</v>
      </c>
      <c r="AT66" s="27" t="s">
        <v>5</v>
      </c>
      <c r="AU66" s="27" t="s">
        <v>5</v>
      </c>
      <c r="AV66" s="27">
        <v>5</v>
      </c>
      <c r="AW66" s="27">
        <v>5</v>
      </c>
      <c r="AX66" s="27">
        <v>5</v>
      </c>
      <c r="AY66" s="27">
        <v>10</v>
      </c>
      <c r="AZ66" s="27">
        <v>6</v>
      </c>
      <c r="BA66" s="27">
        <v>5</v>
      </c>
      <c r="BB66" s="27" t="s">
        <v>213</v>
      </c>
      <c r="BC66" s="27" t="s">
        <v>388</v>
      </c>
      <c r="BD66" s="27" t="s">
        <v>221</v>
      </c>
      <c r="BE66" s="27" t="s">
        <v>597</v>
      </c>
      <c r="BF66" s="27" t="s">
        <v>598</v>
      </c>
      <c r="BG66" s="27" t="s">
        <v>599</v>
      </c>
    </row>
    <row r="67" spans="1:59" ht="15.75" customHeight="1" x14ac:dyDescent="0.2">
      <c r="A67" s="27">
        <v>61</v>
      </c>
      <c r="B67" s="28">
        <v>45742.716965949076</v>
      </c>
      <c r="C67" s="28" t="s">
        <v>790</v>
      </c>
      <c r="D67" s="27" t="s">
        <v>324</v>
      </c>
      <c r="E67" s="27" t="s">
        <v>177</v>
      </c>
      <c r="F67" s="27" t="s">
        <v>200</v>
      </c>
      <c r="G67" s="27" t="s">
        <v>201</v>
      </c>
      <c r="H67" s="27" t="s">
        <v>187</v>
      </c>
      <c r="I67" s="27" t="s">
        <v>198</v>
      </c>
      <c r="J67" s="27" t="s">
        <v>8</v>
      </c>
      <c r="K67" s="27" t="s">
        <v>8</v>
      </c>
      <c r="L67" s="27" t="s">
        <v>9</v>
      </c>
      <c r="M67" s="27" t="s">
        <v>7</v>
      </c>
      <c r="N67" s="27" t="s">
        <v>7</v>
      </c>
      <c r="O67" s="27" t="s">
        <v>8</v>
      </c>
      <c r="P67" s="27" t="s">
        <v>7</v>
      </c>
      <c r="Q67" s="27" t="s">
        <v>8</v>
      </c>
      <c r="R67" s="27" t="s">
        <v>8</v>
      </c>
      <c r="S67" s="27" t="s">
        <v>7</v>
      </c>
      <c r="T67" s="27" t="s">
        <v>7</v>
      </c>
      <c r="U67" s="27" t="s">
        <v>7</v>
      </c>
      <c r="V67" s="27" t="s">
        <v>7</v>
      </c>
      <c r="W67" s="27" t="s">
        <v>7</v>
      </c>
      <c r="X67" s="27" t="s">
        <v>7</v>
      </c>
      <c r="Y67" s="27" t="s">
        <v>8</v>
      </c>
      <c r="Z67" s="27" t="s">
        <v>7</v>
      </c>
      <c r="AA67" s="27" t="s">
        <v>7</v>
      </c>
      <c r="AB67" s="27" t="s">
        <v>7</v>
      </c>
      <c r="AC67" s="27" t="s">
        <v>7</v>
      </c>
      <c r="AD67" s="27" t="s">
        <v>8</v>
      </c>
      <c r="AE67" s="27" t="s">
        <v>9</v>
      </c>
      <c r="AF67" s="27" t="s">
        <v>7</v>
      </c>
      <c r="AG67" s="27" t="s">
        <v>7</v>
      </c>
      <c r="AH67" s="27" t="s">
        <v>6</v>
      </c>
      <c r="AI67" s="27" t="s">
        <v>6</v>
      </c>
      <c r="AJ67" s="27" t="s">
        <v>8</v>
      </c>
      <c r="AK67" s="27" t="s">
        <v>7</v>
      </c>
      <c r="AL67" s="27" t="s">
        <v>7</v>
      </c>
      <c r="AM67" s="27" t="s">
        <v>7</v>
      </c>
      <c r="AN67" s="27" t="s">
        <v>7</v>
      </c>
      <c r="AO67" s="27" t="s">
        <v>7</v>
      </c>
      <c r="AP67" s="27" t="s">
        <v>8</v>
      </c>
      <c r="AQ67" s="27" t="s">
        <v>7</v>
      </c>
      <c r="AR67" s="27" t="s">
        <v>8</v>
      </c>
      <c r="AS67" s="27" t="s">
        <v>8</v>
      </c>
      <c r="AT67" s="27" t="s">
        <v>7</v>
      </c>
      <c r="AU67" s="27" t="s">
        <v>8</v>
      </c>
      <c r="AV67" s="27">
        <v>7</v>
      </c>
      <c r="AW67" s="27">
        <v>7</v>
      </c>
      <c r="AX67" s="27">
        <v>7</v>
      </c>
      <c r="AY67" s="27">
        <v>9</v>
      </c>
      <c r="AZ67" s="27">
        <v>7</v>
      </c>
      <c r="BA67" s="27">
        <v>6</v>
      </c>
      <c r="BB67" s="27" t="s">
        <v>206</v>
      </c>
      <c r="BC67" s="27" t="s">
        <v>190</v>
      </c>
      <c r="BD67" s="27" t="s">
        <v>203</v>
      </c>
      <c r="BE67" s="27" t="s">
        <v>600</v>
      </c>
      <c r="BF67" s="27" t="s">
        <v>601</v>
      </c>
      <c r="BG67" s="27" t="s">
        <v>602</v>
      </c>
    </row>
    <row r="68" spans="1:59" ht="15.75" customHeight="1" x14ac:dyDescent="0.2">
      <c r="A68" s="27">
        <v>62</v>
      </c>
      <c r="B68" s="28">
        <v>45742.729217546294</v>
      </c>
      <c r="C68" s="28" t="s">
        <v>790</v>
      </c>
      <c r="D68" s="27" t="s">
        <v>176</v>
      </c>
      <c r="E68" s="27" t="s">
        <v>177</v>
      </c>
      <c r="F68" s="27" t="s">
        <v>200</v>
      </c>
      <c r="G68" s="27" t="s">
        <v>201</v>
      </c>
      <c r="H68" s="27" t="s">
        <v>187</v>
      </c>
      <c r="I68" s="27" t="s">
        <v>181</v>
      </c>
      <c r="J68" s="27" t="s">
        <v>9</v>
      </c>
      <c r="K68" s="27" t="s">
        <v>9</v>
      </c>
      <c r="L68" s="27" t="s">
        <v>9</v>
      </c>
      <c r="M68" s="27" t="s">
        <v>9</v>
      </c>
      <c r="N68" s="27" t="s">
        <v>8</v>
      </c>
      <c r="O68" s="27" t="s">
        <v>9</v>
      </c>
      <c r="P68" s="27" t="s">
        <v>7</v>
      </c>
      <c r="Q68" s="27" t="s">
        <v>7</v>
      </c>
      <c r="R68" s="27" t="s">
        <v>8</v>
      </c>
      <c r="S68" s="27" t="s">
        <v>9</v>
      </c>
      <c r="T68" s="27" t="s">
        <v>7</v>
      </c>
      <c r="U68" s="27" t="s">
        <v>7</v>
      </c>
      <c r="V68" s="27" t="s">
        <v>5</v>
      </c>
      <c r="W68" s="27" t="s">
        <v>9</v>
      </c>
      <c r="X68" s="27" t="s">
        <v>7</v>
      </c>
      <c r="Y68" s="27" t="s">
        <v>7</v>
      </c>
      <c r="Z68" s="27" t="s">
        <v>7</v>
      </c>
      <c r="AA68" s="27" t="s">
        <v>7</v>
      </c>
      <c r="AB68" s="27" t="s">
        <v>7</v>
      </c>
      <c r="AC68" s="27" t="s">
        <v>8</v>
      </c>
      <c r="AD68" s="27" t="s">
        <v>9</v>
      </c>
      <c r="AE68" s="27" t="s">
        <v>9</v>
      </c>
      <c r="AF68" s="27" t="s">
        <v>8</v>
      </c>
      <c r="AG68" s="27" t="s">
        <v>7</v>
      </c>
      <c r="AH68" s="27" t="s">
        <v>8</v>
      </c>
      <c r="AI68" s="27" t="s">
        <v>7</v>
      </c>
      <c r="AJ68" s="27" t="s">
        <v>9</v>
      </c>
      <c r="AK68" s="27" t="s">
        <v>9</v>
      </c>
      <c r="AL68" s="27" t="s">
        <v>9</v>
      </c>
      <c r="AM68" s="27" t="s">
        <v>8</v>
      </c>
      <c r="AN68" s="27" t="s">
        <v>6</v>
      </c>
      <c r="AO68" s="27" t="s">
        <v>6</v>
      </c>
      <c r="AP68" s="27" t="s">
        <v>6</v>
      </c>
      <c r="AQ68" s="27" t="s">
        <v>6</v>
      </c>
      <c r="AR68" s="27" t="s">
        <v>7</v>
      </c>
      <c r="AS68" s="27" t="s">
        <v>7</v>
      </c>
      <c r="AT68" s="27" t="s">
        <v>6</v>
      </c>
      <c r="AU68" s="27" t="s">
        <v>8</v>
      </c>
      <c r="AV68" s="27">
        <v>8</v>
      </c>
      <c r="AW68" s="27">
        <v>8</v>
      </c>
      <c r="AX68" s="27">
        <v>8</v>
      </c>
      <c r="AY68" s="27">
        <v>10</v>
      </c>
      <c r="AZ68" s="27">
        <v>6</v>
      </c>
      <c r="BA68" s="27">
        <v>8</v>
      </c>
      <c r="BB68" s="27" t="s">
        <v>389</v>
      </c>
      <c r="BC68" s="27" t="s">
        <v>248</v>
      </c>
      <c r="BD68" s="27" t="s">
        <v>235</v>
      </c>
      <c r="BE68" s="27" t="s">
        <v>603</v>
      </c>
      <c r="BF68" s="27" t="s">
        <v>604</v>
      </c>
      <c r="BG68" s="27" t="s">
        <v>605</v>
      </c>
    </row>
    <row r="69" spans="1:59" ht="15.75" customHeight="1" x14ac:dyDescent="0.2">
      <c r="A69" s="27">
        <v>63</v>
      </c>
      <c r="B69" s="28">
        <v>45742.764907372686</v>
      </c>
      <c r="C69" s="28" t="s">
        <v>790</v>
      </c>
      <c r="D69" s="27" t="s">
        <v>212</v>
      </c>
      <c r="E69" s="27" t="s">
        <v>217</v>
      </c>
      <c r="F69" s="27" t="s">
        <v>178</v>
      </c>
      <c r="G69" s="27" t="s">
        <v>201</v>
      </c>
      <c r="H69" s="27" t="s">
        <v>187</v>
      </c>
      <c r="I69" s="27" t="s">
        <v>194</v>
      </c>
      <c r="J69" s="27" t="s">
        <v>9</v>
      </c>
      <c r="K69" s="27" t="s">
        <v>9</v>
      </c>
      <c r="L69" s="27" t="s">
        <v>9</v>
      </c>
      <c r="M69" s="27" t="s">
        <v>8</v>
      </c>
      <c r="N69" s="27" t="s">
        <v>9</v>
      </c>
      <c r="O69" s="27" t="s">
        <v>9</v>
      </c>
      <c r="P69" s="27" t="s">
        <v>9</v>
      </c>
      <c r="Q69" s="27" t="s">
        <v>9</v>
      </c>
      <c r="R69" s="27" t="s">
        <v>9</v>
      </c>
      <c r="S69" s="27" t="s">
        <v>9</v>
      </c>
      <c r="T69" s="27" t="s">
        <v>9</v>
      </c>
      <c r="U69" s="27" t="s">
        <v>9</v>
      </c>
      <c r="V69" s="27" t="s">
        <v>6</v>
      </c>
      <c r="W69" s="27" t="s">
        <v>9</v>
      </c>
      <c r="X69" s="27" t="s">
        <v>9</v>
      </c>
      <c r="Y69" s="27" t="s">
        <v>9</v>
      </c>
      <c r="Z69" s="27" t="s">
        <v>9</v>
      </c>
      <c r="AA69" s="27" t="s">
        <v>9</v>
      </c>
      <c r="AB69" s="27" t="s">
        <v>9</v>
      </c>
      <c r="AC69" s="27" t="s">
        <v>9</v>
      </c>
      <c r="AD69" s="27" t="s">
        <v>9</v>
      </c>
      <c r="AE69" s="27" t="s">
        <v>9</v>
      </c>
      <c r="AF69" s="27" t="s">
        <v>9</v>
      </c>
      <c r="AG69" s="27" t="s">
        <v>9</v>
      </c>
      <c r="AH69" s="27" t="s">
        <v>9</v>
      </c>
      <c r="AI69" s="27" t="s">
        <v>9</v>
      </c>
      <c r="AJ69" s="27" t="s">
        <v>9</v>
      </c>
      <c r="AK69" s="27" t="s">
        <v>9</v>
      </c>
      <c r="AL69" s="27" t="s">
        <v>8</v>
      </c>
      <c r="AM69" s="27" t="s">
        <v>8</v>
      </c>
      <c r="AN69" s="27" t="s">
        <v>9</v>
      </c>
      <c r="AO69" s="27" t="s">
        <v>9</v>
      </c>
      <c r="AP69" s="27" t="s">
        <v>9</v>
      </c>
      <c r="AQ69" s="27" t="s">
        <v>9</v>
      </c>
      <c r="AR69" s="27" t="s">
        <v>9</v>
      </c>
      <c r="AS69" s="27" t="s">
        <v>8</v>
      </c>
      <c r="AT69" s="27" t="s">
        <v>8</v>
      </c>
      <c r="AU69" s="27" t="s">
        <v>8</v>
      </c>
      <c r="AV69" s="27">
        <v>10</v>
      </c>
      <c r="AW69" s="27">
        <v>10</v>
      </c>
      <c r="AX69" s="27">
        <v>9</v>
      </c>
      <c r="AY69" s="27">
        <v>9</v>
      </c>
      <c r="AZ69" s="27">
        <v>9</v>
      </c>
      <c r="BA69" s="27">
        <v>9</v>
      </c>
      <c r="BB69" s="27" t="s">
        <v>253</v>
      </c>
      <c r="BC69" s="27" t="s">
        <v>225</v>
      </c>
      <c r="BD69" s="27" t="s">
        <v>233</v>
      </c>
      <c r="BE69" s="27" t="s">
        <v>234</v>
      </c>
      <c r="BF69" s="27" t="s">
        <v>234</v>
      </c>
      <c r="BG69" s="27" t="s">
        <v>234</v>
      </c>
    </row>
    <row r="70" spans="1:59" ht="15.75" customHeight="1" x14ac:dyDescent="0.2">
      <c r="A70" s="27">
        <v>64</v>
      </c>
      <c r="B70" s="28">
        <v>45742.76730363426</v>
      </c>
      <c r="C70" s="28" t="s">
        <v>790</v>
      </c>
      <c r="D70" s="27" t="s">
        <v>176</v>
      </c>
      <c r="E70" s="27" t="s">
        <v>193</v>
      </c>
      <c r="F70" s="27" t="s">
        <v>200</v>
      </c>
      <c r="G70" s="27" t="s">
        <v>179</v>
      </c>
      <c r="H70" s="27" t="s">
        <v>180</v>
      </c>
      <c r="I70" s="27" t="s">
        <v>181</v>
      </c>
      <c r="J70" s="27" t="s">
        <v>9</v>
      </c>
      <c r="K70" s="27" t="s">
        <v>9</v>
      </c>
      <c r="L70" s="27" t="s">
        <v>9</v>
      </c>
      <c r="M70" s="27" t="s">
        <v>8</v>
      </c>
      <c r="N70" s="27" t="s">
        <v>8</v>
      </c>
      <c r="O70" s="27" t="s">
        <v>9</v>
      </c>
      <c r="P70" s="27" t="s">
        <v>9</v>
      </c>
      <c r="Q70" s="27" t="s">
        <v>9</v>
      </c>
      <c r="R70" s="27" t="s">
        <v>9</v>
      </c>
      <c r="S70" s="27" t="s">
        <v>9</v>
      </c>
      <c r="T70" s="27" t="s">
        <v>9</v>
      </c>
      <c r="U70" s="27" t="s">
        <v>8</v>
      </c>
      <c r="V70" s="27" t="s">
        <v>8</v>
      </c>
      <c r="W70" s="27" t="s">
        <v>9</v>
      </c>
      <c r="X70" s="27" t="s">
        <v>8</v>
      </c>
      <c r="Y70" s="27" t="s">
        <v>8</v>
      </c>
      <c r="Z70" s="27" t="s">
        <v>9</v>
      </c>
      <c r="AA70" s="27" t="s">
        <v>9</v>
      </c>
      <c r="AB70" s="27" t="s">
        <v>9</v>
      </c>
      <c r="AC70" s="27" t="s">
        <v>9</v>
      </c>
      <c r="AD70" s="27" t="s">
        <v>8</v>
      </c>
      <c r="AE70" s="27" t="s">
        <v>8</v>
      </c>
      <c r="AF70" s="27" t="s">
        <v>9</v>
      </c>
      <c r="AG70" s="27" t="s">
        <v>8</v>
      </c>
      <c r="AH70" s="27" t="s">
        <v>8</v>
      </c>
      <c r="AI70" s="27" t="s">
        <v>8</v>
      </c>
      <c r="AJ70" s="27" t="s">
        <v>8</v>
      </c>
      <c r="AK70" s="27" t="s">
        <v>9</v>
      </c>
      <c r="AL70" s="27" t="s">
        <v>8</v>
      </c>
      <c r="AM70" s="27" t="s">
        <v>8</v>
      </c>
      <c r="AN70" s="27" t="s">
        <v>9</v>
      </c>
      <c r="AO70" s="27" t="s">
        <v>9</v>
      </c>
      <c r="AP70" s="27" t="s">
        <v>9</v>
      </c>
      <c r="AQ70" s="27" t="s">
        <v>9</v>
      </c>
      <c r="AR70" s="27" t="s">
        <v>9</v>
      </c>
      <c r="AS70" s="27" t="s">
        <v>8</v>
      </c>
      <c r="AT70" s="27" t="s">
        <v>8</v>
      </c>
      <c r="AU70" s="27" t="s">
        <v>9</v>
      </c>
      <c r="AV70" s="27">
        <v>7</v>
      </c>
      <c r="AW70" s="27">
        <v>5</v>
      </c>
      <c r="AX70" s="27">
        <v>5</v>
      </c>
      <c r="AY70" s="27">
        <v>10</v>
      </c>
      <c r="AZ70" s="27">
        <v>5</v>
      </c>
      <c r="BA70" s="27">
        <v>5</v>
      </c>
      <c r="BB70" s="27" t="s">
        <v>390</v>
      </c>
      <c r="BC70" s="27" t="s">
        <v>391</v>
      </c>
      <c r="BD70" s="27" t="s">
        <v>251</v>
      </c>
      <c r="BE70" s="27" t="s">
        <v>606</v>
      </c>
      <c r="BF70" s="27" t="s">
        <v>523</v>
      </c>
      <c r="BG70" s="27" t="s">
        <v>607</v>
      </c>
    </row>
    <row r="71" spans="1:59" ht="15.75" customHeight="1" x14ac:dyDescent="0.2">
      <c r="A71" s="27">
        <v>65</v>
      </c>
      <c r="B71" s="28">
        <v>45742.77565413194</v>
      </c>
      <c r="C71" s="28" t="s">
        <v>790</v>
      </c>
      <c r="D71" s="27" t="s">
        <v>216</v>
      </c>
      <c r="E71" s="27" t="s">
        <v>217</v>
      </c>
      <c r="F71" s="27" t="s">
        <v>200</v>
      </c>
      <c r="G71" s="27" t="s">
        <v>201</v>
      </c>
      <c r="H71" s="27" t="s">
        <v>187</v>
      </c>
      <c r="I71" s="27" t="s">
        <v>198</v>
      </c>
      <c r="J71" s="27" t="s">
        <v>7</v>
      </c>
      <c r="K71" s="27" t="s">
        <v>7</v>
      </c>
      <c r="L71" s="27" t="s">
        <v>7</v>
      </c>
      <c r="M71" s="27" t="s">
        <v>7</v>
      </c>
      <c r="N71" s="27" t="s">
        <v>6</v>
      </c>
      <c r="O71" s="27" t="s">
        <v>6</v>
      </c>
      <c r="P71" s="27" t="s">
        <v>7</v>
      </c>
      <c r="Q71" s="27" t="s">
        <v>7</v>
      </c>
      <c r="R71" s="27" t="s">
        <v>7</v>
      </c>
      <c r="S71" s="27" t="s">
        <v>7</v>
      </c>
      <c r="T71" s="27" t="s">
        <v>7</v>
      </c>
      <c r="U71" s="27" t="s">
        <v>7</v>
      </c>
      <c r="V71" s="27" t="s">
        <v>6</v>
      </c>
      <c r="W71" s="27" t="s">
        <v>7</v>
      </c>
      <c r="X71" s="27" t="s">
        <v>6</v>
      </c>
      <c r="Y71" s="27" t="s">
        <v>6</v>
      </c>
      <c r="Z71" s="27" t="s">
        <v>7</v>
      </c>
      <c r="AA71" s="27" t="s">
        <v>7</v>
      </c>
      <c r="AB71" s="27" t="s">
        <v>6</v>
      </c>
      <c r="AC71" s="27" t="s">
        <v>6</v>
      </c>
      <c r="AD71" s="27" t="s">
        <v>7</v>
      </c>
      <c r="AE71" s="27" t="s">
        <v>6</v>
      </c>
      <c r="AF71" s="27" t="s">
        <v>7</v>
      </c>
      <c r="AG71" s="27" t="s">
        <v>6</v>
      </c>
      <c r="AH71" s="27" t="s">
        <v>6</v>
      </c>
      <c r="AI71" s="27" t="s">
        <v>6</v>
      </c>
      <c r="AJ71" s="27" t="s">
        <v>7</v>
      </c>
      <c r="AK71" s="27" t="s">
        <v>6</v>
      </c>
      <c r="AL71" s="27" t="s">
        <v>6</v>
      </c>
      <c r="AM71" s="27" t="s">
        <v>6</v>
      </c>
      <c r="AN71" s="27" t="s">
        <v>6</v>
      </c>
      <c r="AO71" s="27" t="s">
        <v>6</v>
      </c>
      <c r="AP71" s="27" t="s">
        <v>6</v>
      </c>
      <c r="AQ71" s="27" t="s">
        <v>6</v>
      </c>
      <c r="AR71" s="27" t="s">
        <v>5</v>
      </c>
      <c r="AS71" s="27" t="s">
        <v>6</v>
      </c>
      <c r="AT71" s="27" t="s">
        <v>6</v>
      </c>
      <c r="AU71" s="27" t="s">
        <v>6</v>
      </c>
      <c r="AV71" s="27">
        <v>4</v>
      </c>
      <c r="AW71" s="27">
        <v>4</v>
      </c>
      <c r="AX71" s="27">
        <v>2</v>
      </c>
      <c r="AY71" s="27">
        <v>5</v>
      </c>
      <c r="AZ71" s="27">
        <v>3</v>
      </c>
      <c r="BA71" s="27">
        <v>4</v>
      </c>
      <c r="BB71" s="27" t="s">
        <v>392</v>
      </c>
      <c r="BC71" s="27" t="s">
        <v>393</v>
      </c>
      <c r="BD71" s="27" t="s">
        <v>239</v>
      </c>
      <c r="BE71" s="27" t="s">
        <v>202</v>
      </c>
      <c r="BF71" s="27" t="s">
        <v>608</v>
      </c>
      <c r="BG71" s="27" t="s">
        <v>609</v>
      </c>
    </row>
    <row r="72" spans="1:59" ht="15.75" customHeight="1" x14ac:dyDescent="0.2">
      <c r="A72" s="27">
        <v>66</v>
      </c>
      <c r="B72" s="28">
        <v>45742.776316863426</v>
      </c>
      <c r="C72" s="28" t="s">
        <v>788</v>
      </c>
      <c r="D72" s="27" t="s">
        <v>176</v>
      </c>
      <c r="E72" s="27" t="s">
        <v>193</v>
      </c>
      <c r="F72" s="27" t="s">
        <v>200</v>
      </c>
      <c r="G72" s="27" t="s">
        <v>179</v>
      </c>
      <c r="H72" s="27" t="s">
        <v>237</v>
      </c>
      <c r="I72" s="27" t="s">
        <v>181</v>
      </c>
      <c r="J72" s="27" t="s">
        <v>9</v>
      </c>
      <c r="K72" s="27" t="s">
        <v>9</v>
      </c>
      <c r="L72" s="27" t="s">
        <v>9</v>
      </c>
      <c r="M72" s="27" t="s">
        <v>9</v>
      </c>
      <c r="N72" s="27" t="s">
        <v>8</v>
      </c>
      <c r="O72" s="27" t="s">
        <v>9</v>
      </c>
      <c r="P72" s="27" t="s">
        <v>7</v>
      </c>
      <c r="Q72" s="27" t="s">
        <v>6</v>
      </c>
      <c r="R72" s="27" t="s">
        <v>9</v>
      </c>
      <c r="S72" s="27" t="s">
        <v>6</v>
      </c>
      <c r="T72" s="27" t="s">
        <v>7</v>
      </c>
      <c r="U72" s="27" t="s">
        <v>8</v>
      </c>
      <c r="V72" s="27" t="s">
        <v>6</v>
      </c>
      <c r="W72" s="27" t="s">
        <v>9</v>
      </c>
      <c r="X72" s="27" t="s">
        <v>8</v>
      </c>
      <c r="Y72" s="27" t="s">
        <v>8</v>
      </c>
      <c r="Z72" s="27" t="s">
        <v>6</v>
      </c>
      <c r="AA72" s="27" t="s">
        <v>6</v>
      </c>
      <c r="AB72" s="27" t="s">
        <v>9</v>
      </c>
      <c r="AC72" s="27" t="s">
        <v>9</v>
      </c>
      <c r="AD72" s="27" t="s">
        <v>9</v>
      </c>
      <c r="AE72" s="27" t="s">
        <v>9</v>
      </c>
      <c r="AF72" s="27" t="s">
        <v>9</v>
      </c>
      <c r="AG72" s="27" t="s">
        <v>7</v>
      </c>
      <c r="AH72" s="27" t="s">
        <v>7</v>
      </c>
      <c r="AI72" s="27" t="s">
        <v>7</v>
      </c>
      <c r="AJ72" s="27" t="s">
        <v>9</v>
      </c>
      <c r="AK72" s="27" t="s">
        <v>9</v>
      </c>
      <c r="AL72" s="27" t="s">
        <v>8</v>
      </c>
      <c r="AM72" s="27" t="s">
        <v>9</v>
      </c>
      <c r="AN72" s="27" t="s">
        <v>8</v>
      </c>
      <c r="AO72" s="27" t="s">
        <v>7</v>
      </c>
      <c r="AP72" s="27" t="s">
        <v>8</v>
      </c>
      <c r="AQ72" s="27" t="s">
        <v>8</v>
      </c>
      <c r="AR72" s="27" t="s">
        <v>5</v>
      </c>
      <c r="AS72" s="27" t="s">
        <v>7</v>
      </c>
      <c r="AT72" s="27" t="s">
        <v>8</v>
      </c>
      <c r="AU72" s="27" t="s">
        <v>5</v>
      </c>
      <c r="AV72" s="27">
        <v>9</v>
      </c>
      <c r="AW72" s="27">
        <v>10</v>
      </c>
      <c r="AX72" s="27">
        <v>5</v>
      </c>
      <c r="AY72" s="27">
        <v>10</v>
      </c>
      <c r="AZ72" s="27">
        <v>8</v>
      </c>
      <c r="BA72" s="27">
        <v>10</v>
      </c>
      <c r="BB72" s="27" t="s">
        <v>394</v>
      </c>
      <c r="BC72" s="27" t="s">
        <v>395</v>
      </c>
      <c r="BD72" s="27" t="s">
        <v>396</v>
      </c>
      <c r="BE72" s="27" t="s">
        <v>215</v>
      </c>
      <c r="BF72" s="27" t="s">
        <v>610</v>
      </c>
      <c r="BG72" s="27" t="s">
        <v>611</v>
      </c>
    </row>
    <row r="73" spans="1:59" ht="15.75" customHeight="1" x14ac:dyDescent="0.2">
      <c r="A73" s="27">
        <v>67</v>
      </c>
      <c r="B73" s="28">
        <v>45742.814716967594</v>
      </c>
      <c r="C73" s="28" t="s">
        <v>788</v>
      </c>
      <c r="D73" s="27" t="s">
        <v>176</v>
      </c>
      <c r="E73" s="27" t="s">
        <v>193</v>
      </c>
      <c r="F73" s="27" t="s">
        <v>178</v>
      </c>
      <c r="G73" s="27" t="s">
        <v>201</v>
      </c>
      <c r="H73" s="27" t="s">
        <v>223</v>
      </c>
      <c r="I73" s="27" t="s">
        <v>198</v>
      </c>
      <c r="J73" s="27" t="s">
        <v>9</v>
      </c>
      <c r="K73" s="27" t="s">
        <v>9</v>
      </c>
      <c r="L73" s="27" t="s">
        <v>9</v>
      </c>
      <c r="M73" s="27" t="s">
        <v>8</v>
      </c>
      <c r="N73" s="27" t="s">
        <v>9</v>
      </c>
      <c r="O73" s="27" t="s">
        <v>9</v>
      </c>
      <c r="P73" s="27" t="s">
        <v>9</v>
      </c>
      <c r="Q73" s="27" t="s">
        <v>9</v>
      </c>
      <c r="R73" s="27" t="s">
        <v>9</v>
      </c>
      <c r="S73" s="27" t="s">
        <v>9</v>
      </c>
      <c r="T73" s="27" t="s">
        <v>9</v>
      </c>
      <c r="U73" s="27" t="s">
        <v>8</v>
      </c>
      <c r="V73" s="27" t="s">
        <v>8</v>
      </c>
      <c r="W73" s="27" t="s">
        <v>9</v>
      </c>
      <c r="X73" s="27" t="s">
        <v>8</v>
      </c>
      <c r="Y73" s="27" t="s">
        <v>8</v>
      </c>
      <c r="Z73" s="27" t="s">
        <v>9</v>
      </c>
      <c r="AA73" s="27" t="s">
        <v>9</v>
      </c>
      <c r="AB73" s="27" t="s">
        <v>9</v>
      </c>
      <c r="AC73" s="27" t="s">
        <v>9</v>
      </c>
      <c r="AD73" s="27" t="s">
        <v>9</v>
      </c>
      <c r="AE73" s="27" t="s">
        <v>9</v>
      </c>
      <c r="AF73" s="27" t="s">
        <v>9</v>
      </c>
      <c r="AG73" s="27" t="s">
        <v>9</v>
      </c>
      <c r="AH73" s="27" t="s">
        <v>9</v>
      </c>
      <c r="AI73" s="27" t="s">
        <v>9</v>
      </c>
      <c r="AJ73" s="27" t="s">
        <v>7</v>
      </c>
      <c r="AK73" s="27" t="s">
        <v>9</v>
      </c>
      <c r="AL73" s="27" t="s">
        <v>9</v>
      </c>
      <c r="AM73" s="27" t="s">
        <v>9</v>
      </c>
      <c r="AN73" s="27" t="s">
        <v>9</v>
      </c>
      <c r="AO73" s="27" t="s">
        <v>9</v>
      </c>
      <c r="AP73" s="27" t="s">
        <v>9</v>
      </c>
      <c r="AQ73" s="27" t="s">
        <v>9</v>
      </c>
      <c r="AR73" s="27" t="s">
        <v>9</v>
      </c>
      <c r="AS73" s="27" t="s">
        <v>9</v>
      </c>
      <c r="AT73" s="27" t="s">
        <v>9</v>
      </c>
      <c r="AU73" s="27" t="s">
        <v>9</v>
      </c>
      <c r="AV73" s="27">
        <v>10</v>
      </c>
      <c r="AW73" s="27">
        <v>10</v>
      </c>
      <c r="AX73" s="27">
        <v>10</v>
      </c>
      <c r="AY73" s="27">
        <v>10</v>
      </c>
      <c r="AZ73" s="27">
        <v>10</v>
      </c>
      <c r="BA73" s="27">
        <v>10</v>
      </c>
      <c r="BB73" s="27" t="s">
        <v>397</v>
      </c>
      <c r="BC73" s="27" t="s">
        <v>214</v>
      </c>
      <c r="BD73" s="27" t="s">
        <v>398</v>
      </c>
      <c r="BE73" s="27" t="s">
        <v>612</v>
      </c>
      <c r="BF73" s="27" t="s">
        <v>613</v>
      </c>
      <c r="BG73" s="27" t="s">
        <v>614</v>
      </c>
    </row>
    <row r="74" spans="1:59" ht="15.75" customHeight="1" x14ac:dyDescent="0.2">
      <c r="A74" s="27">
        <v>68</v>
      </c>
      <c r="B74" s="28">
        <v>45742.819133761572</v>
      </c>
      <c r="C74" s="28" t="s">
        <v>790</v>
      </c>
      <c r="D74" s="27" t="s">
        <v>176</v>
      </c>
      <c r="E74" s="27" t="s">
        <v>193</v>
      </c>
      <c r="F74" s="27" t="s">
        <v>205</v>
      </c>
      <c r="G74" s="27" t="s">
        <v>201</v>
      </c>
      <c r="H74" s="27" t="s">
        <v>187</v>
      </c>
      <c r="I74" s="27" t="s">
        <v>208</v>
      </c>
      <c r="J74" s="27" t="s">
        <v>9</v>
      </c>
      <c r="K74" s="27" t="s">
        <v>9</v>
      </c>
      <c r="L74" s="27" t="s">
        <v>9</v>
      </c>
      <c r="M74" s="27" t="s">
        <v>8</v>
      </c>
      <c r="N74" s="27" t="s">
        <v>9</v>
      </c>
      <c r="O74" s="27" t="s">
        <v>8</v>
      </c>
      <c r="P74" s="27" t="s">
        <v>9</v>
      </c>
      <c r="Q74" s="27" t="s">
        <v>9</v>
      </c>
      <c r="R74" s="27" t="s">
        <v>9</v>
      </c>
      <c r="S74" s="27" t="s">
        <v>9</v>
      </c>
      <c r="T74" s="27" t="s">
        <v>9</v>
      </c>
      <c r="U74" s="27" t="s">
        <v>8</v>
      </c>
      <c r="V74" s="27" t="s">
        <v>7</v>
      </c>
      <c r="W74" s="27" t="s">
        <v>8</v>
      </c>
      <c r="X74" s="27" t="s">
        <v>7</v>
      </c>
      <c r="Y74" s="27" t="s">
        <v>7</v>
      </c>
      <c r="Z74" s="27" t="s">
        <v>8</v>
      </c>
      <c r="AA74" s="27" t="s">
        <v>8</v>
      </c>
      <c r="AB74" s="27" t="s">
        <v>8</v>
      </c>
      <c r="AC74" s="27" t="s">
        <v>8</v>
      </c>
      <c r="AD74" s="27" t="s">
        <v>9</v>
      </c>
      <c r="AE74" s="27" t="s">
        <v>9</v>
      </c>
      <c r="AF74" s="27" t="s">
        <v>9</v>
      </c>
      <c r="AG74" s="27" t="s">
        <v>8</v>
      </c>
      <c r="AH74" s="27" t="s">
        <v>7</v>
      </c>
      <c r="AI74" s="27" t="s">
        <v>7</v>
      </c>
      <c r="AJ74" s="27" t="s">
        <v>9</v>
      </c>
      <c r="AK74" s="27" t="s">
        <v>8</v>
      </c>
      <c r="AL74" s="27" t="s">
        <v>8</v>
      </c>
      <c r="AM74" s="27" t="s">
        <v>8</v>
      </c>
      <c r="AN74" s="27" t="s">
        <v>8</v>
      </c>
      <c r="AO74" s="27" t="s">
        <v>7</v>
      </c>
      <c r="AP74" s="27" t="s">
        <v>9</v>
      </c>
      <c r="AQ74" s="27" t="s">
        <v>8</v>
      </c>
      <c r="AR74" s="27" t="s">
        <v>9</v>
      </c>
      <c r="AS74" s="27" t="s">
        <v>9</v>
      </c>
      <c r="AT74" s="27" t="s">
        <v>8</v>
      </c>
      <c r="AU74" s="27" t="s">
        <v>8</v>
      </c>
      <c r="AV74" s="27">
        <v>8</v>
      </c>
      <c r="AW74" s="27">
        <v>10</v>
      </c>
      <c r="AX74" s="27">
        <v>10</v>
      </c>
      <c r="AY74" s="27">
        <v>10</v>
      </c>
      <c r="AZ74" s="27">
        <v>6</v>
      </c>
      <c r="BA74" s="27">
        <v>10</v>
      </c>
      <c r="BB74" s="27" t="s">
        <v>399</v>
      </c>
      <c r="BC74" s="27" t="s">
        <v>214</v>
      </c>
      <c r="BD74" s="27" t="s">
        <v>233</v>
      </c>
      <c r="BE74" s="27" t="s">
        <v>615</v>
      </c>
      <c r="BF74" s="27" t="s">
        <v>616</v>
      </c>
      <c r="BG74" s="27" t="s">
        <v>617</v>
      </c>
    </row>
    <row r="75" spans="1:59" ht="15.75" customHeight="1" x14ac:dyDescent="0.2">
      <c r="A75" s="27">
        <v>69</v>
      </c>
      <c r="B75" s="28">
        <v>45743.406572071763</v>
      </c>
      <c r="C75" s="28" t="s">
        <v>791</v>
      </c>
      <c r="D75" s="27" t="s">
        <v>176</v>
      </c>
      <c r="E75" s="27" t="s">
        <v>193</v>
      </c>
      <c r="F75" s="27" t="s">
        <v>186</v>
      </c>
      <c r="G75" s="27" t="s">
        <v>179</v>
      </c>
      <c r="H75" s="27" t="s">
        <v>187</v>
      </c>
      <c r="I75" s="27" t="s">
        <v>208</v>
      </c>
      <c r="J75" s="27" t="s">
        <v>8</v>
      </c>
      <c r="K75" s="27" t="s">
        <v>8</v>
      </c>
      <c r="L75" s="27" t="s">
        <v>9</v>
      </c>
      <c r="M75" s="27" t="s">
        <v>9</v>
      </c>
      <c r="N75" s="27" t="s">
        <v>8</v>
      </c>
      <c r="O75" s="27" t="s">
        <v>9</v>
      </c>
      <c r="P75" s="27" t="s">
        <v>8</v>
      </c>
      <c r="Q75" s="27" t="s">
        <v>9</v>
      </c>
      <c r="R75" s="27" t="s">
        <v>8</v>
      </c>
      <c r="S75" s="27" t="s">
        <v>8</v>
      </c>
      <c r="T75" s="27" t="s">
        <v>8</v>
      </c>
      <c r="U75" s="27" t="s">
        <v>8</v>
      </c>
      <c r="V75" s="27" t="s">
        <v>7</v>
      </c>
      <c r="W75" s="27" t="s">
        <v>8</v>
      </c>
      <c r="X75" s="27" t="s">
        <v>8</v>
      </c>
      <c r="Y75" s="27" t="s">
        <v>9</v>
      </c>
      <c r="Z75" s="27" t="s">
        <v>9</v>
      </c>
      <c r="AA75" s="27" t="s">
        <v>8</v>
      </c>
      <c r="AB75" s="27" t="s">
        <v>8</v>
      </c>
      <c r="AC75" s="27" t="s">
        <v>8</v>
      </c>
      <c r="AD75" s="27" t="s">
        <v>9</v>
      </c>
      <c r="AE75" s="27" t="s">
        <v>9</v>
      </c>
      <c r="AF75" s="27" t="s">
        <v>8</v>
      </c>
      <c r="AG75" s="27" t="s">
        <v>8</v>
      </c>
      <c r="AH75" s="27" t="s">
        <v>7</v>
      </c>
      <c r="AI75" s="27" t="s">
        <v>7</v>
      </c>
      <c r="AJ75" s="27" t="s">
        <v>8</v>
      </c>
      <c r="AK75" s="27" t="s">
        <v>9</v>
      </c>
      <c r="AL75" s="27" t="s">
        <v>8</v>
      </c>
      <c r="AM75" s="27" t="s">
        <v>8</v>
      </c>
      <c r="AN75" s="27" t="s">
        <v>8</v>
      </c>
      <c r="AO75" s="27" t="s">
        <v>7</v>
      </c>
      <c r="AP75" s="27" t="s">
        <v>9</v>
      </c>
      <c r="AQ75" s="27" t="s">
        <v>8</v>
      </c>
      <c r="AR75" s="27" t="s">
        <v>8</v>
      </c>
      <c r="AS75" s="27" t="s">
        <v>8</v>
      </c>
      <c r="AT75" s="27" t="s">
        <v>8</v>
      </c>
      <c r="AU75" s="27" t="s">
        <v>8</v>
      </c>
      <c r="AV75" s="27">
        <v>10</v>
      </c>
      <c r="AW75" s="27">
        <v>10</v>
      </c>
      <c r="AX75" s="27">
        <v>8</v>
      </c>
      <c r="AY75" s="27">
        <v>10</v>
      </c>
      <c r="AZ75" s="27">
        <v>10</v>
      </c>
      <c r="BA75" s="27">
        <v>10</v>
      </c>
      <c r="BB75" s="27" t="s">
        <v>199</v>
      </c>
      <c r="BC75" s="27" t="s">
        <v>400</v>
      </c>
      <c r="BD75" s="27" t="s">
        <v>221</v>
      </c>
      <c r="BE75" s="27" t="s">
        <v>618</v>
      </c>
      <c r="BF75" s="27" t="s">
        <v>619</v>
      </c>
      <c r="BG75" s="27" t="s">
        <v>620</v>
      </c>
    </row>
    <row r="76" spans="1:59" ht="15.75" customHeight="1" x14ac:dyDescent="0.2">
      <c r="A76" s="27">
        <v>70</v>
      </c>
      <c r="B76" s="28">
        <v>45743.413014050922</v>
      </c>
      <c r="C76" s="28" t="s">
        <v>792</v>
      </c>
      <c r="D76" s="27" t="s">
        <v>176</v>
      </c>
      <c r="E76" s="27" t="s">
        <v>193</v>
      </c>
      <c r="F76" s="27" t="s">
        <v>200</v>
      </c>
      <c r="G76" s="27" t="s">
        <v>179</v>
      </c>
      <c r="H76" s="27" t="s">
        <v>237</v>
      </c>
      <c r="I76" s="27" t="s">
        <v>188</v>
      </c>
      <c r="J76" s="27" t="s">
        <v>7</v>
      </c>
      <c r="K76" s="27" t="s">
        <v>7</v>
      </c>
      <c r="L76" s="27" t="s">
        <v>9</v>
      </c>
      <c r="M76" s="27" t="s">
        <v>7</v>
      </c>
      <c r="N76" s="27" t="s">
        <v>9</v>
      </c>
      <c r="O76" s="27" t="s">
        <v>8</v>
      </c>
      <c r="P76" s="27" t="s">
        <v>8</v>
      </c>
      <c r="Q76" s="27" t="s">
        <v>7</v>
      </c>
      <c r="R76" s="27" t="s">
        <v>7</v>
      </c>
      <c r="S76" s="27" t="s">
        <v>7</v>
      </c>
      <c r="T76" s="27" t="s">
        <v>7</v>
      </c>
      <c r="U76" s="27" t="s">
        <v>7</v>
      </c>
      <c r="V76" s="27" t="s">
        <v>7</v>
      </c>
      <c r="W76" s="27" t="s">
        <v>7</v>
      </c>
      <c r="X76" s="27" t="s">
        <v>7</v>
      </c>
      <c r="Y76" s="27" t="s">
        <v>7</v>
      </c>
      <c r="Z76" s="27" t="s">
        <v>7</v>
      </c>
      <c r="AA76" s="27" t="s">
        <v>7</v>
      </c>
      <c r="AB76" s="27" t="s">
        <v>7</v>
      </c>
      <c r="AC76" s="27" t="s">
        <v>7</v>
      </c>
      <c r="AD76" s="27" t="s">
        <v>7</v>
      </c>
      <c r="AE76" s="27" t="s">
        <v>7</v>
      </c>
      <c r="AF76" s="27" t="s">
        <v>7</v>
      </c>
      <c r="AG76" s="27" t="s">
        <v>7</v>
      </c>
      <c r="AH76" s="27" t="s">
        <v>7</v>
      </c>
      <c r="AI76" s="27" t="s">
        <v>7</v>
      </c>
      <c r="AJ76" s="27" t="s">
        <v>7</v>
      </c>
      <c r="AK76" s="27" t="s">
        <v>7</v>
      </c>
      <c r="AL76" s="27" t="s">
        <v>7</v>
      </c>
      <c r="AM76" s="27" t="s">
        <v>7</v>
      </c>
      <c r="AN76" s="27" t="s">
        <v>7</v>
      </c>
      <c r="AO76" s="27" t="s">
        <v>7</v>
      </c>
      <c r="AP76" s="27" t="s">
        <v>7</v>
      </c>
      <c r="AQ76" s="27" t="s">
        <v>7</v>
      </c>
      <c r="AR76" s="27" t="s">
        <v>7</v>
      </c>
      <c r="AS76" s="27" t="s">
        <v>7</v>
      </c>
      <c r="AT76" s="27" t="s">
        <v>7</v>
      </c>
      <c r="AU76" s="27" t="s">
        <v>7</v>
      </c>
      <c r="AV76" s="27">
        <v>8</v>
      </c>
      <c r="AW76" s="27">
        <v>8</v>
      </c>
      <c r="AX76" s="27">
        <v>8</v>
      </c>
      <c r="AY76" s="27">
        <v>8</v>
      </c>
      <c r="AZ76" s="27">
        <v>8</v>
      </c>
      <c r="BA76" s="27">
        <v>5</v>
      </c>
      <c r="BB76" s="27" t="s">
        <v>220</v>
      </c>
      <c r="BC76" s="27" t="s">
        <v>190</v>
      </c>
      <c r="BD76" s="27" t="s">
        <v>196</v>
      </c>
      <c r="BE76" s="27" t="s">
        <v>234</v>
      </c>
      <c r="BF76" s="27" t="s">
        <v>621</v>
      </c>
      <c r="BG76" s="27" t="s">
        <v>234</v>
      </c>
    </row>
    <row r="77" spans="1:59" ht="15.75" customHeight="1" x14ac:dyDescent="0.2">
      <c r="A77" s="27">
        <v>71</v>
      </c>
      <c r="B77" s="28">
        <v>45743.419150150468</v>
      </c>
      <c r="C77" s="28" t="s">
        <v>788</v>
      </c>
      <c r="D77" s="27" t="s">
        <v>176</v>
      </c>
      <c r="E77" s="27" t="s">
        <v>193</v>
      </c>
      <c r="F77" s="27" t="s">
        <v>200</v>
      </c>
      <c r="G77" s="27" t="s">
        <v>201</v>
      </c>
      <c r="H77" s="27" t="s">
        <v>187</v>
      </c>
      <c r="I77" s="27" t="s">
        <v>194</v>
      </c>
      <c r="J77" s="27" t="s">
        <v>9</v>
      </c>
      <c r="K77" s="27" t="s">
        <v>8</v>
      </c>
      <c r="L77" s="27" t="s">
        <v>9</v>
      </c>
      <c r="M77" s="27" t="s">
        <v>9</v>
      </c>
      <c r="N77" s="27" t="s">
        <v>9</v>
      </c>
      <c r="O77" s="27" t="s">
        <v>9</v>
      </c>
      <c r="P77" s="27" t="s">
        <v>7</v>
      </c>
      <c r="Q77" s="27" t="s">
        <v>7</v>
      </c>
      <c r="R77" s="27" t="s">
        <v>7</v>
      </c>
      <c r="S77" s="27" t="s">
        <v>6</v>
      </c>
      <c r="T77" s="27" t="s">
        <v>6</v>
      </c>
      <c r="U77" s="27" t="s">
        <v>7</v>
      </c>
      <c r="V77" s="27" t="s">
        <v>5</v>
      </c>
      <c r="W77" s="27" t="s">
        <v>5</v>
      </c>
      <c r="X77" s="27" t="s">
        <v>5</v>
      </c>
      <c r="Y77" s="27" t="s">
        <v>5</v>
      </c>
      <c r="Z77" s="27" t="s">
        <v>7</v>
      </c>
      <c r="AA77" s="27" t="s">
        <v>7</v>
      </c>
      <c r="AB77" s="27" t="s">
        <v>7</v>
      </c>
      <c r="AC77" s="27" t="s">
        <v>7</v>
      </c>
      <c r="AD77" s="27" t="s">
        <v>6</v>
      </c>
      <c r="AE77" s="27" t="s">
        <v>5</v>
      </c>
      <c r="AF77" s="27" t="s">
        <v>8</v>
      </c>
      <c r="AG77" s="27" t="s">
        <v>7</v>
      </c>
      <c r="AH77" s="27" t="s">
        <v>5</v>
      </c>
      <c r="AI77" s="27" t="s">
        <v>5</v>
      </c>
      <c r="AJ77" s="27" t="s">
        <v>5</v>
      </c>
      <c r="AK77" s="27" t="s">
        <v>7</v>
      </c>
      <c r="AL77" s="27" t="s">
        <v>7</v>
      </c>
      <c r="AM77" s="27" t="s">
        <v>7</v>
      </c>
      <c r="AN77" s="27" t="s">
        <v>7</v>
      </c>
      <c r="AO77" s="27" t="s">
        <v>5</v>
      </c>
      <c r="AP77" s="27" t="s">
        <v>5</v>
      </c>
      <c r="AQ77" s="27" t="s">
        <v>5</v>
      </c>
      <c r="AR77" s="27" t="s">
        <v>7</v>
      </c>
      <c r="AS77" s="27" t="s">
        <v>5</v>
      </c>
      <c r="AT77" s="27" t="s">
        <v>5</v>
      </c>
      <c r="AU77" s="27" t="s">
        <v>5</v>
      </c>
      <c r="AV77" s="27">
        <v>6</v>
      </c>
      <c r="AW77" s="27">
        <v>5</v>
      </c>
      <c r="AX77" s="27">
        <v>4</v>
      </c>
      <c r="AY77" s="27">
        <v>6</v>
      </c>
      <c r="AZ77" s="27">
        <v>2</v>
      </c>
      <c r="BA77" s="27">
        <v>2</v>
      </c>
      <c r="BB77" s="27" t="s">
        <v>259</v>
      </c>
      <c r="BC77" s="27" t="s">
        <v>195</v>
      </c>
      <c r="BD77" s="27" t="s">
        <v>207</v>
      </c>
      <c r="BE77" s="27" t="s">
        <v>622</v>
      </c>
      <c r="BF77" s="27" t="s">
        <v>623</v>
      </c>
      <c r="BG77" s="27" t="s">
        <v>624</v>
      </c>
    </row>
    <row r="78" spans="1:59" ht="15.75" customHeight="1" x14ac:dyDescent="0.2">
      <c r="A78" s="27">
        <v>72</v>
      </c>
      <c r="B78" s="28">
        <v>45743.420203275462</v>
      </c>
      <c r="C78" s="28" t="s">
        <v>791</v>
      </c>
      <c r="D78" s="27" t="s">
        <v>176</v>
      </c>
      <c r="E78" s="27" t="s">
        <v>193</v>
      </c>
      <c r="F78" s="27" t="s">
        <v>178</v>
      </c>
      <c r="G78" s="27" t="s">
        <v>179</v>
      </c>
      <c r="H78" s="27" t="s">
        <v>180</v>
      </c>
      <c r="I78" s="27" t="s">
        <v>194</v>
      </c>
      <c r="J78" s="27" t="s">
        <v>8</v>
      </c>
      <c r="K78" s="27" t="s">
        <v>7</v>
      </c>
      <c r="L78" s="27" t="s">
        <v>9</v>
      </c>
      <c r="M78" s="27" t="s">
        <v>6</v>
      </c>
      <c r="N78" s="27" t="s">
        <v>7</v>
      </c>
      <c r="O78" s="27" t="s">
        <v>7</v>
      </c>
      <c r="P78" s="27" t="s">
        <v>6</v>
      </c>
      <c r="Q78" s="27" t="s">
        <v>7</v>
      </c>
      <c r="R78" s="27" t="s">
        <v>8</v>
      </c>
      <c r="S78" s="27" t="s">
        <v>6</v>
      </c>
      <c r="T78" s="27" t="s">
        <v>6</v>
      </c>
      <c r="U78" s="27" t="s">
        <v>7</v>
      </c>
      <c r="V78" s="27" t="s">
        <v>7</v>
      </c>
      <c r="W78" s="27" t="s">
        <v>7</v>
      </c>
      <c r="X78" s="27" t="s">
        <v>7</v>
      </c>
      <c r="Y78" s="27" t="s">
        <v>6</v>
      </c>
      <c r="Z78" s="27" t="s">
        <v>7</v>
      </c>
      <c r="AA78" s="27" t="s">
        <v>7</v>
      </c>
      <c r="AB78" s="27" t="s">
        <v>8</v>
      </c>
      <c r="AC78" s="27" t="s">
        <v>8</v>
      </c>
      <c r="AD78" s="27" t="s">
        <v>9</v>
      </c>
      <c r="AE78" s="27" t="s">
        <v>7</v>
      </c>
      <c r="AF78" s="27" t="s">
        <v>7</v>
      </c>
      <c r="AG78" s="27" t="s">
        <v>7</v>
      </c>
      <c r="AH78" s="27" t="s">
        <v>7</v>
      </c>
      <c r="AI78" s="27" t="s">
        <v>7</v>
      </c>
      <c r="AJ78" s="27" t="s">
        <v>6</v>
      </c>
      <c r="AK78" s="27" t="s">
        <v>7</v>
      </c>
      <c r="AL78" s="27" t="s">
        <v>6</v>
      </c>
      <c r="AM78" s="27" t="s">
        <v>7</v>
      </c>
      <c r="AN78" s="27" t="s">
        <v>7</v>
      </c>
      <c r="AO78" s="27" t="s">
        <v>6</v>
      </c>
      <c r="AP78" s="27" t="s">
        <v>7</v>
      </c>
      <c r="AQ78" s="27" t="s">
        <v>5</v>
      </c>
      <c r="AR78" s="27" t="s">
        <v>7</v>
      </c>
      <c r="AS78" s="27" t="s">
        <v>6</v>
      </c>
      <c r="AT78" s="27" t="s">
        <v>6</v>
      </c>
      <c r="AU78" s="27" t="s">
        <v>6</v>
      </c>
      <c r="AV78" s="27">
        <v>5</v>
      </c>
      <c r="AW78" s="27">
        <v>5</v>
      </c>
      <c r="AX78" s="27">
        <v>5</v>
      </c>
      <c r="AY78" s="27">
        <v>5</v>
      </c>
      <c r="AZ78" s="27">
        <v>5</v>
      </c>
      <c r="BA78" s="27">
        <v>7</v>
      </c>
      <c r="BB78" s="27" t="s">
        <v>401</v>
      </c>
      <c r="BC78" s="27" t="s">
        <v>225</v>
      </c>
      <c r="BD78" s="27" t="s">
        <v>239</v>
      </c>
      <c r="BE78" s="27" t="s">
        <v>625</v>
      </c>
      <c r="BF78" s="27" t="s">
        <v>626</v>
      </c>
      <c r="BG78" s="27" t="s">
        <v>627</v>
      </c>
    </row>
    <row r="79" spans="1:59" ht="15.75" customHeight="1" x14ac:dyDescent="0.2">
      <c r="A79" s="27">
        <v>73</v>
      </c>
      <c r="B79" s="28">
        <v>45743.434010821758</v>
      </c>
      <c r="C79" s="28" t="s">
        <v>788</v>
      </c>
      <c r="D79" s="27" t="s">
        <v>184</v>
      </c>
      <c r="E79" s="27" t="s">
        <v>193</v>
      </c>
      <c r="F79" s="27" t="s">
        <v>200</v>
      </c>
      <c r="G79" s="27" t="s">
        <v>179</v>
      </c>
      <c r="H79" s="27" t="s">
        <v>180</v>
      </c>
      <c r="I79" s="27" t="s">
        <v>194</v>
      </c>
      <c r="J79" s="27" t="s">
        <v>8</v>
      </c>
      <c r="K79" s="27" t="s">
        <v>8</v>
      </c>
      <c r="L79" s="27" t="s">
        <v>9</v>
      </c>
      <c r="M79" s="27" t="s">
        <v>6</v>
      </c>
      <c r="N79" s="27" t="s">
        <v>8</v>
      </c>
      <c r="O79" s="27" t="s">
        <v>8</v>
      </c>
      <c r="P79" s="27" t="s">
        <v>7</v>
      </c>
      <c r="Q79" s="27" t="s">
        <v>7</v>
      </c>
      <c r="R79" s="27" t="s">
        <v>7</v>
      </c>
      <c r="S79" s="27" t="s">
        <v>6</v>
      </c>
      <c r="T79" s="27" t="s">
        <v>6</v>
      </c>
      <c r="U79" s="27" t="s">
        <v>7</v>
      </c>
      <c r="V79" s="27" t="s">
        <v>6</v>
      </c>
      <c r="W79" s="27" t="s">
        <v>7</v>
      </c>
      <c r="X79" s="27" t="s">
        <v>6</v>
      </c>
      <c r="Y79" s="27" t="s">
        <v>5</v>
      </c>
      <c r="Z79" s="27" t="s">
        <v>7</v>
      </c>
      <c r="AA79" s="27" t="s">
        <v>7</v>
      </c>
      <c r="AB79" s="27" t="s">
        <v>6</v>
      </c>
      <c r="AC79" s="27" t="s">
        <v>7</v>
      </c>
      <c r="AD79" s="27" t="s">
        <v>8</v>
      </c>
      <c r="AE79" s="27" t="s">
        <v>8</v>
      </c>
      <c r="AF79" s="27" t="s">
        <v>8</v>
      </c>
      <c r="AG79" s="27" t="s">
        <v>6</v>
      </c>
      <c r="AH79" s="27" t="s">
        <v>5</v>
      </c>
      <c r="AI79" s="27" t="s">
        <v>5</v>
      </c>
      <c r="AJ79" s="27" t="s">
        <v>7</v>
      </c>
      <c r="AK79" s="27" t="s">
        <v>7</v>
      </c>
      <c r="AL79" s="27" t="s">
        <v>7</v>
      </c>
      <c r="AM79" s="27" t="s">
        <v>6</v>
      </c>
      <c r="AN79" s="27" t="s">
        <v>6</v>
      </c>
      <c r="AO79" s="27" t="s">
        <v>5</v>
      </c>
      <c r="AP79" s="27" t="s">
        <v>6</v>
      </c>
      <c r="AQ79" s="27" t="s">
        <v>6</v>
      </c>
      <c r="AR79" s="27" t="s">
        <v>7</v>
      </c>
      <c r="AS79" s="27" t="s">
        <v>6</v>
      </c>
      <c r="AT79" s="27" t="s">
        <v>5</v>
      </c>
      <c r="AU79" s="27" t="s">
        <v>5</v>
      </c>
      <c r="AV79" s="27">
        <v>5</v>
      </c>
      <c r="AW79" s="27">
        <v>5</v>
      </c>
      <c r="AX79" s="27">
        <v>8</v>
      </c>
      <c r="AY79" s="27">
        <v>10</v>
      </c>
      <c r="AZ79" s="27">
        <v>1</v>
      </c>
      <c r="BA79" s="27">
        <v>3</v>
      </c>
      <c r="BB79" s="27" t="s">
        <v>252</v>
      </c>
      <c r="BC79" s="27" t="s">
        <v>195</v>
      </c>
      <c r="BD79" s="27" t="s">
        <v>183</v>
      </c>
      <c r="BE79" s="27" t="s">
        <v>628</v>
      </c>
      <c r="BF79" s="27" t="s">
        <v>629</v>
      </c>
      <c r="BG79" s="27" t="s">
        <v>630</v>
      </c>
    </row>
    <row r="80" spans="1:59" ht="15.75" customHeight="1" x14ac:dyDescent="0.2">
      <c r="A80" s="27">
        <v>74</v>
      </c>
      <c r="B80" s="28">
        <v>45743.439555405093</v>
      </c>
      <c r="C80" s="28" t="s">
        <v>788</v>
      </c>
      <c r="D80" s="27" t="s">
        <v>324</v>
      </c>
      <c r="E80" s="27" t="s">
        <v>185</v>
      </c>
      <c r="F80" s="27" t="s">
        <v>200</v>
      </c>
      <c r="G80" s="27" t="s">
        <v>201</v>
      </c>
      <c r="H80" s="27" t="s">
        <v>187</v>
      </c>
      <c r="I80" s="27" t="s">
        <v>194</v>
      </c>
      <c r="J80" s="27" t="s">
        <v>9</v>
      </c>
      <c r="K80" s="27" t="s">
        <v>7</v>
      </c>
      <c r="L80" s="27" t="s">
        <v>9</v>
      </c>
      <c r="M80" s="27" t="s">
        <v>7</v>
      </c>
      <c r="N80" s="27" t="s">
        <v>7</v>
      </c>
      <c r="O80" s="27" t="s">
        <v>8</v>
      </c>
      <c r="P80" s="27" t="s">
        <v>7</v>
      </c>
      <c r="Q80" s="27" t="s">
        <v>7</v>
      </c>
      <c r="R80" s="27" t="s">
        <v>7</v>
      </c>
      <c r="S80" s="27" t="s">
        <v>7</v>
      </c>
      <c r="T80" s="27" t="s">
        <v>7</v>
      </c>
      <c r="U80" s="27" t="s">
        <v>7</v>
      </c>
      <c r="V80" s="27" t="s">
        <v>6</v>
      </c>
      <c r="W80" s="27" t="s">
        <v>7</v>
      </c>
      <c r="X80" s="27" t="s">
        <v>7</v>
      </c>
      <c r="Y80" s="27" t="s">
        <v>7</v>
      </c>
      <c r="Z80" s="27" t="s">
        <v>7</v>
      </c>
      <c r="AA80" s="27" t="s">
        <v>7</v>
      </c>
      <c r="AB80" s="27" t="s">
        <v>8</v>
      </c>
      <c r="AC80" s="27" t="s">
        <v>7</v>
      </c>
      <c r="AD80" s="27" t="s">
        <v>7</v>
      </c>
      <c r="AE80" s="27" t="s">
        <v>8</v>
      </c>
      <c r="AF80" s="27" t="s">
        <v>8</v>
      </c>
      <c r="AG80" s="27" t="s">
        <v>6</v>
      </c>
      <c r="AH80" s="27" t="s">
        <v>6</v>
      </c>
      <c r="AI80" s="27" t="s">
        <v>7</v>
      </c>
      <c r="AJ80" s="27" t="s">
        <v>8</v>
      </c>
      <c r="AK80" s="27" t="s">
        <v>7</v>
      </c>
      <c r="AL80" s="27" t="s">
        <v>7</v>
      </c>
      <c r="AM80" s="27" t="s">
        <v>7</v>
      </c>
      <c r="AN80" s="27" t="s">
        <v>7</v>
      </c>
      <c r="AO80" s="27" t="s">
        <v>7</v>
      </c>
      <c r="AP80" s="27" t="s">
        <v>8</v>
      </c>
      <c r="AQ80" s="27" t="s">
        <v>7</v>
      </c>
      <c r="AR80" s="27" t="s">
        <v>7</v>
      </c>
      <c r="AS80" s="27" t="s">
        <v>7</v>
      </c>
      <c r="AT80" s="27" t="s">
        <v>7</v>
      </c>
      <c r="AU80" s="27" t="s">
        <v>7</v>
      </c>
      <c r="AV80" s="27">
        <v>6</v>
      </c>
      <c r="AW80" s="27">
        <v>5</v>
      </c>
      <c r="AX80" s="27">
        <v>6</v>
      </c>
      <c r="AY80" s="27">
        <v>9</v>
      </c>
      <c r="AZ80" s="27">
        <v>8</v>
      </c>
      <c r="BA80" s="27">
        <v>6</v>
      </c>
      <c r="BB80" s="27" t="s">
        <v>219</v>
      </c>
      <c r="BC80" s="27" t="s">
        <v>211</v>
      </c>
      <c r="BD80" s="27" t="s">
        <v>239</v>
      </c>
      <c r="BE80" s="27" t="s">
        <v>631</v>
      </c>
      <c r="BF80" s="27" t="s">
        <v>632</v>
      </c>
      <c r="BG80" s="27" t="s">
        <v>633</v>
      </c>
    </row>
    <row r="81" spans="1:59" ht="15.75" customHeight="1" x14ac:dyDescent="0.2">
      <c r="A81" s="27">
        <v>75</v>
      </c>
      <c r="B81" s="28">
        <v>45743.443845520829</v>
      </c>
      <c r="C81" s="28" t="s">
        <v>792</v>
      </c>
      <c r="D81" s="27" t="s">
        <v>176</v>
      </c>
      <c r="E81" s="27" t="s">
        <v>177</v>
      </c>
      <c r="F81" s="27" t="s">
        <v>200</v>
      </c>
      <c r="G81" s="27" t="s">
        <v>179</v>
      </c>
      <c r="H81" s="27" t="s">
        <v>187</v>
      </c>
      <c r="I81" s="27" t="s">
        <v>198</v>
      </c>
      <c r="J81" s="27" t="s">
        <v>9</v>
      </c>
      <c r="K81" s="27" t="s">
        <v>7</v>
      </c>
      <c r="L81" s="27" t="s">
        <v>8</v>
      </c>
      <c r="M81" s="27" t="s">
        <v>8</v>
      </c>
      <c r="N81" s="27" t="s">
        <v>8</v>
      </c>
      <c r="O81" s="27" t="s">
        <v>8</v>
      </c>
      <c r="P81" s="27" t="s">
        <v>7</v>
      </c>
      <c r="Q81" s="27" t="s">
        <v>8</v>
      </c>
      <c r="R81" s="27" t="s">
        <v>7</v>
      </c>
      <c r="S81" s="27" t="s">
        <v>7</v>
      </c>
      <c r="T81" s="27" t="s">
        <v>7</v>
      </c>
      <c r="U81" s="27" t="s">
        <v>6</v>
      </c>
      <c r="V81" s="27" t="s">
        <v>5</v>
      </c>
      <c r="W81" s="27" t="s">
        <v>6</v>
      </c>
      <c r="X81" s="27" t="s">
        <v>5</v>
      </c>
      <c r="Y81" s="27" t="s">
        <v>6</v>
      </c>
      <c r="Z81" s="27" t="s">
        <v>7</v>
      </c>
      <c r="AA81" s="27" t="s">
        <v>8</v>
      </c>
      <c r="AB81" s="27" t="s">
        <v>7</v>
      </c>
      <c r="AC81" s="27" t="s">
        <v>7</v>
      </c>
      <c r="AD81" s="27" t="s">
        <v>7</v>
      </c>
      <c r="AE81" s="27" t="s">
        <v>8</v>
      </c>
      <c r="AF81" s="27" t="s">
        <v>9</v>
      </c>
      <c r="AG81" s="27" t="s">
        <v>6</v>
      </c>
      <c r="AH81" s="27" t="s">
        <v>6</v>
      </c>
      <c r="AI81" s="27" t="s">
        <v>5</v>
      </c>
      <c r="AJ81" s="27" t="s">
        <v>7</v>
      </c>
      <c r="AK81" s="27" t="s">
        <v>7</v>
      </c>
      <c r="AL81" s="27" t="s">
        <v>7</v>
      </c>
      <c r="AM81" s="27" t="s">
        <v>6</v>
      </c>
      <c r="AN81" s="27" t="s">
        <v>6</v>
      </c>
      <c r="AO81" s="27" t="s">
        <v>6</v>
      </c>
      <c r="AP81" s="27" t="s">
        <v>8</v>
      </c>
      <c r="AQ81" s="27" t="s">
        <v>6</v>
      </c>
      <c r="AR81" s="27" t="s">
        <v>7</v>
      </c>
      <c r="AS81" s="27" t="s">
        <v>8</v>
      </c>
      <c r="AT81" s="27" t="s">
        <v>6</v>
      </c>
      <c r="AU81" s="27" t="s">
        <v>7</v>
      </c>
      <c r="AV81" s="27">
        <v>6</v>
      </c>
      <c r="AW81" s="27">
        <v>8</v>
      </c>
      <c r="AX81" s="27">
        <v>8</v>
      </c>
      <c r="AY81" s="27">
        <v>7</v>
      </c>
      <c r="AZ81" s="27">
        <v>5</v>
      </c>
      <c r="BA81" s="27">
        <v>5</v>
      </c>
      <c r="BB81" s="27" t="s">
        <v>402</v>
      </c>
      <c r="BC81" s="27" t="s">
        <v>214</v>
      </c>
      <c r="BD81" s="27" t="s">
        <v>183</v>
      </c>
      <c r="BE81" s="27" t="s">
        <v>634</v>
      </c>
      <c r="BF81" s="27" t="s">
        <v>635</v>
      </c>
      <c r="BG81" s="27" t="s">
        <v>636</v>
      </c>
    </row>
    <row r="82" spans="1:59" ht="15.75" customHeight="1" x14ac:dyDescent="0.2">
      <c r="A82" s="27">
        <v>76</v>
      </c>
      <c r="B82" s="28">
        <v>45743.769059548613</v>
      </c>
      <c r="C82" s="28" t="s">
        <v>790</v>
      </c>
      <c r="D82" s="27" t="s">
        <v>212</v>
      </c>
      <c r="E82" s="27" t="s">
        <v>217</v>
      </c>
      <c r="F82" s="27" t="s">
        <v>200</v>
      </c>
      <c r="G82" s="27" t="s">
        <v>201</v>
      </c>
      <c r="H82" s="27" t="s">
        <v>187</v>
      </c>
      <c r="I82" s="27" t="s">
        <v>198</v>
      </c>
      <c r="J82" s="27" t="s">
        <v>9</v>
      </c>
      <c r="K82" s="27" t="s">
        <v>8</v>
      </c>
      <c r="L82" s="27" t="s">
        <v>9</v>
      </c>
      <c r="M82" s="27" t="s">
        <v>7</v>
      </c>
      <c r="N82" s="27" t="s">
        <v>8</v>
      </c>
      <c r="O82" s="27" t="s">
        <v>8</v>
      </c>
      <c r="P82" s="27" t="s">
        <v>7</v>
      </c>
      <c r="Q82" s="27" t="s">
        <v>7</v>
      </c>
      <c r="R82" s="27" t="s">
        <v>8</v>
      </c>
      <c r="S82" s="27" t="s">
        <v>7</v>
      </c>
      <c r="T82" s="27" t="s">
        <v>7</v>
      </c>
      <c r="U82" s="27" t="s">
        <v>8</v>
      </c>
      <c r="V82" s="27" t="s">
        <v>6</v>
      </c>
      <c r="W82" s="27" t="s">
        <v>8</v>
      </c>
      <c r="X82" s="27" t="s">
        <v>7</v>
      </c>
      <c r="Y82" s="27" t="s">
        <v>8</v>
      </c>
      <c r="Z82" s="27" t="s">
        <v>7</v>
      </c>
      <c r="AA82" s="27" t="s">
        <v>7</v>
      </c>
      <c r="AB82" s="27" t="s">
        <v>8</v>
      </c>
      <c r="AC82" s="27" t="s">
        <v>8</v>
      </c>
      <c r="AD82" s="27" t="s">
        <v>8</v>
      </c>
      <c r="AE82" s="27" t="s">
        <v>9</v>
      </c>
      <c r="AF82" s="27" t="s">
        <v>7</v>
      </c>
      <c r="AG82" s="27" t="s">
        <v>5</v>
      </c>
      <c r="AH82" s="27" t="s">
        <v>5</v>
      </c>
      <c r="AI82" s="27" t="s">
        <v>7</v>
      </c>
      <c r="AJ82" s="27" t="s">
        <v>6</v>
      </c>
      <c r="AK82" s="27" t="s">
        <v>8</v>
      </c>
      <c r="AL82" s="27" t="s">
        <v>6</v>
      </c>
      <c r="AM82" s="27" t="s">
        <v>7</v>
      </c>
      <c r="AN82" s="27" t="s">
        <v>7</v>
      </c>
      <c r="AO82" s="27" t="s">
        <v>7</v>
      </c>
      <c r="AP82" s="27" t="s">
        <v>8</v>
      </c>
      <c r="AQ82" s="27" t="s">
        <v>7</v>
      </c>
      <c r="AR82" s="27" t="s">
        <v>7</v>
      </c>
      <c r="AS82" s="27" t="s">
        <v>7</v>
      </c>
      <c r="AT82" s="27" t="s">
        <v>6</v>
      </c>
      <c r="AU82" s="27" t="s">
        <v>8</v>
      </c>
      <c r="AV82" s="27">
        <v>5</v>
      </c>
      <c r="AW82" s="27">
        <v>2</v>
      </c>
      <c r="AX82" s="27">
        <v>4</v>
      </c>
      <c r="AY82" s="27">
        <v>9</v>
      </c>
      <c r="AZ82" s="27">
        <v>5</v>
      </c>
      <c r="BA82" s="27">
        <v>5</v>
      </c>
      <c r="BB82" s="27" t="s">
        <v>209</v>
      </c>
      <c r="BC82" s="27" t="s">
        <v>403</v>
      </c>
      <c r="BD82" s="27" t="s">
        <v>239</v>
      </c>
      <c r="BE82" s="27" t="s">
        <v>637</v>
      </c>
      <c r="BF82" s="27" t="s">
        <v>234</v>
      </c>
      <c r="BG82" s="27" t="s">
        <v>638</v>
      </c>
    </row>
    <row r="83" spans="1:59" ht="15.75" customHeight="1" x14ac:dyDescent="0.2">
      <c r="A83" s="27">
        <v>77</v>
      </c>
      <c r="B83" s="28">
        <v>45743.790952395837</v>
      </c>
      <c r="C83" s="28" t="s">
        <v>792</v>
      </c>
      <c r="D83" s="27" t="s">
        <v>246</v>
      </c>
      <c r="E83" s="27" t="s">
        <v>217</v>
      </c>
      <c r="F83" s="27" t="s">
        <v>178</v>
      </c>
      <c r="G83" s="27" t="s">
        <v>179</v>
      </c>
      <c r="H83" s="27" t="s">
        <v>187</v>
      </c>
      <c r="I83" s="27" t="s">
        <v>198</v>
      </c>
      <c r="J83" s="27" t="s">
        <v>9</v>
      </c>
      <c r="K83" s="27" t="s">
        <v>8</v>
      </c>
      <c r="L83" s="27" t="s">
        <v>8</v>
      </c>
      <c r="M83" s="27" t="s">
        <v>9</v>
      </c>
      <c r="N83" s="27" t="s">
        <v>9</v>
      </c>
      <c r="O83" s="27" t="s">
        <v>9</v>
      </c>
      <c r="P83" s="27" t="s">
        <v>9</v>
      </c>
      <c r="Q83" s="27" t="s">
        <v>9</v>
      </c>
      <c r="R83" s="27" t="s">
        <v>9</v>
      </c>
      <c r="S83" s="27" t="s">
        <v>9</v>
      </c>
      <c r="T83" s="27" t="s">
        <v>9</v>
      </c>
      <c r="U83" s="27" t="s">
        <v>8</v>
      </c>
      <c r="V83" s="27" t="s">
        <v>8</v>
      </c>
      <c r="W83" s="27" t="s">
        <v>9</v>
      </c>
      <c r="X83" s="27" t="s">
        <v>8</v>
      </c>
      <c r="Y83" s="27" t="s">
        <v>7</v>
      </c>
      <c r="Z83" s="27" t="s">
        <v>9</v>
      </c>
      <c r="AA83" s="27" t="s">
        <v>9</v>
      </c>
      <c r="AB83" s="27" t="s">
        <v>7</v>
      </c>
      <c r="AC83" s="27" t="s">
        <v>9</v>
      </c>
      <c r="AD83" s="27" t="s">
        <v>9</v>
      </c>
      <c r="AE83" s="27" t="s">
        <v>9</v>
      </c>
      <c r="AF83" s="27" t="s">
        <v>9</v>
      </c>
      <c r="AG83" s="27" t="s">
        <v>9</v>
      </c>
      <c r="AH83" s="27" t="s">
        <v>7</v>
      </c>
      <c r="AI83" s="27" t="s">
        <v>9</v>
      </c>
      <c r="AJ83" s="27" t="s">
        <v>9</v>
      </c>
      <c r="AK83" s="27" t="s">
        <v>8</v>
      </c>
      <c r="AL83" s="27" t="s">
        <v>9</v>
      </c>
      <c r="AM83" s="27" t="s">
        <v>9</v>
      </c>
      <c r="AN83" s="27" t="s">
        <v>8</v>
      </c>
      <c r="AO83" s="27" t="s">
        <v>8</v>
      </c>
      <c r="AP83" s="27" t="s">
        <v>8</v>
      </c>
      <c r="AQ83" s="27" t="s">
        <v>9</v>
      </c>
      <c r="AR83" s="27" t="s">
        <v>9</v>
      </c>
      <c r="AS83" s="27" t="s">
        <v>9</v>
      </c>
      <c r="AT83" s="27" t="s">
        <v>9</v>
      </c>
      <c r="AU83" s="27" t="s">
        <v>9</v>
      </c>
      <c r="AV83" s="27">
        <v>9</v>
      </c>
      <c r="AW83" s="27">
        <v>10</v>
      </c>
      <c r="AX83" s="27">
        <v>9</v>
      </c>
      <c r="AY83" s="27">
        <v>9</v>
      </c>
      <c r="AZ83" s="27">
        <v>9</v>
      </c>
      <c r="BA83" s="27">
        <v>9</v>
      </c>
      <c r="BB83" s="27" t="s">
        <v>404</v>
      </c>
      <c r="BC83" s="27" t="s">
        <v>214</v>
      </c>
      <c r="BD83" s="27" t="s">
        <v>405</v>
      </c>
      <c r="BE83" s="27" t="s">
        <v>639</v>
      </c>
      <c r="BF83" s="27" t="s">
        <v>640</v>
      </c>
      <c r="BG83" s="27" t="s">
        <v>641</v>
      </c>
    </row>
    <row r="84" spans="1:59" ht="15.75" customHeight="1" x14ac:dyDescent="0.2">
      <c r="A84" s="27">
        <v>78</v>
      </c>
      <c r="B84" s="28">
        <v>45743.800758101846</v>
      </c>
      <c r="C84" s="28" t="s">
        <v>791</v>
      </c>
      <c r="D84" s="27" t="s">
        <v>176</v>
      </c>
      <c r="E84" s="27" t="s">
        <v>193</v>
      </c>
      <c r="F84" s="27" t="s">
        <v>178</v>
      </c>
      <c r="G84" s="27" t="s">
        <v>201</v>
      </c>
      <c r="H84" s="27" t="s">
        <v>223</v>
      </c>
      <c r="I84" s="27" t="s">
        <v>194</v>
      </c>
      <c r="J84" s="27" t="s">
        <v>8</v>
      </c>
      <c r="K84" s="27" t="s">
        <v>9</v>
      </c>
      <c r="L84" s="27" t="s">
        <v>8</v>
      </c>
      <c r="M84" s="27" t="s">
        <v>8</v>
      </c>
      <c r="N84" s="27" t="s">
        <v>8</v>
      </c>
      <c r="O84" s="27" t="s">
        <v>8</v>
      </c>
      <c r="P84" s="27" t="s">
        <v>9</v>
      </c>
      <c r="Q84" s="27" t="s">
        <v>9</v>
      </c>
      <c r="R84" s="27" t="s">
        <v>8</v>
      </c>
      <c r="S84" s="27" t="s">
        <v>9</v>
      </c>
      <c r="T84" s="27" t="s">
        <v>9</v>
      </c>
      <c r="U84" s="27" t="s">
        <v>9</v>
      </c>
      <c r="V84" s="27" t="s">
        <v>8</v>
      </c>
      <c r="W84" s="27" t="s">
        <v>9</v>
      </c>
      <c r="X84" s="27" t="s">
        <v>9</v>
      </c>
      <c r="Y84" s="27" t="s">
        <v>9</v>
      </c>
      <c r="Z84" s="27" t="s">
        <v>9</v>
      </c>
      <c r="AA84" s="27" t="s">
        <v>9</v>
      </c>
      <c r="AB84" s="27" t="s">
        <v>8</v>
      </c>
      <c r="AC84" s="27" t="s">
        <v>9</v>
      </c>
      <c r="AD84" s="27" t="s">
        <v>9</v>
      </c>
      <c r="AE84" s="27" t="s">
        <v>9</v>
      </c>
      <c r="AF84" s="27" t="s">
        <v>9</v>
      </c>
      <c r="AG84" s="27" t="s">
        <v>9</v>
      </c>
      <c r="AH84" s="27" t="s">
        <v>9</v>
      </c>
      <c r="AI84" s="27" t="s">
        <v>9</v>
      </c>
      <c r="AJ84" s="27" t="s">
        <v>9</v>
      </c>
      <c r="AK84" s="27" t="s">
        <v>9</v>
      </c>
      <c r="AL84" s="27" t="s">
        <v>9</v>
      </c>
      <c r="AM84" s="27" t="s">
        <v>9</v>
      </c>
      <c r="AN84" s="27" t="s">
        <v>9</v>
      </c>
      <c r="AO84" s="27" t="s">
        <v>9</v>
      </c>
      <c r="AP84" s="27" t="s">
        <v>9</v>
      </c>
      <c r="AQ84" s="27" t="s">
        <v>9</v>
      </c>
      <c r="AR84" s="27" t="s">
        <v>9</v>
      </c>
      <c r="AS84" s="27" t="s">
        <v>9</v>
      </c>
      <c r="AT84" s="27" t="s">
        <v>8</v>
      </c>
      <c r="AU84" s="27" t="s">
        <v>9</v>
      </c>
      <c r="AV84" s="27">
        <v>9</v>
      </c>
      <c r="AW84" s="27">
        <v>8</v>
      </c>
      <c r="AX84" s="27">
        <v>9</v>
      </c>
      <c r="AY84" s="27">
        <v>8</v>
      </c>
      <c r="AZ84" s="27">
        <v>8</v>
      </c>
      <c r="BA84" s="27">
        <v>8</v>
      </c>
      <c r="BB84" s="27" t="s">
        <v>253</v>
      </c>
      <c r="BC84" s="27" t="s">
        <v>182</v>
      </c>
      <c r="BD84" s="27" t="s">
        <v>406</v>
      </c>
      <c r="BE84" s="27" t="s">
        <v>642</v>
      </c>
      <c r="BF84" s="27" t="s">
        <v>643</v>
      </c>
      <c r="BG84" s="27" t="s">
        <v>644</v>
      </c>
    </row>
    <row r="85" spans="1:59" ht="15.75" customHeight="1" x14ac:dyDescent="0.2">
      <c r="A85" s="27">
        <v>79</v>
      </c>
      <c r="B85" s="28">
        <v>45743.808103645832</v>
      </c>
      <c r="C85" s="28" t="s">
        <v>789</v>
      </c>
      <c r="D85" s="27" t="s">
        <v>249</v>
      </c>
      <c r="E85" s="27" t="s">
        <v>193</v>
      </c>
      <c r="F85" s="27" t="s">
        <v>178</v>
      </c>
      <c r="G85" s="27" t="s">
        <v>179</v>
      </c>
      <c r="H85" s="27" t="s">
        <v>187</v>
      </c>
      <c r="I85" s="27" t="s">
        <v>181</v>
      </c>
      <c r="J85" s="27" t="s">
        <v>9</v>
      </c>
      <c r="K85" s="27" t="s">
        <v>9</v>
      </c>
      <c r="L85" s="27" t="s">
        <v>9</v>
      </c>
      <c r="M85" s="27" t="s">
        <v>9</v>
      </c>
      <c r="N85" s="27" t="s">
        <v>9</v>
      </c>
      <c r="O85" s="27" t="s">
        <v>9</v>
      </c>
      <c r="P85" s="27" t="s">
        <v>9</v>
      </c>
      <c r="Q85" s="27" t="s">
        <v>9</v>
      </c>
      <c r="R85" s="27" t="s">
        <v>9</v>
      </c>
      <c r="S85" s="27" t="s">
        <v>9</v>
      </c>
      <c r="T85" s="27" t="s">
        <v>9</v>
      </c>
      <c r="U85" s="27" t="s">
        <v>9</v>
      </c>
      <c r="V85" s="27" t="s">
        <v>9</v>
      </c>
      <c r="W85" s="27" t="s">
        <v>9</v>
      </c>
      <c r="X85" s="27" t="s">
        <v>9</v>
      </c>
      <c r="Y85" s="27" t="s">
        <v>9</v>
      </c>
      <c r="Z85" s="27" t="s">
        <v>9</v>
      </c>
      <c r="AA85" s="27" t="s">
        <v>9</v>
      </c>
      <c r="AB85" s="27" t="s">
        <v>9</v>
      </c>
      <c r="AC85" s="27" t="s">
        <v>9</v>
      </c>
      <c r="AD85" s="27" t="s">
        <v>9</v>
      </c>
      <c r="AE85" s="27" t="s">
        <v>9</v>
      </c>
      <c r="AF85" s="27" t="s">
        <v>9</v>
      </c>
      <c r="AG85" s="27" t="s">
        <v>9</v>
      </c>
      <c r="AH85" s="27" t="s">
        <v>9</v>
      </c>
      <c r="AI85" s="27" t="s">
        <v>9</v>
      </c>
      <c r="AJ85" s="27" t="s">
        <v>9</v>
      </c>
      <c r="AK85" s="27" t="s">
        <v>9</v>
      </c>
      <c r="AL85" s="27" t="s">
        <v>9</v>
      </c>
      <c r="AM85" s="27" t="s">
        <v>9</v>
      </c>
      <c r="AN85" s="27" t="s">
        <v>9</v>
      </c>
      <c r="AO85" s="27" t="s">
        <v>9</v>
      </c>
      <c r="AP85" s="27" t="s">
        <v>9</v>
      </c>
      <c r="AQ85" s="27" t="s">
        <v>9</v>
      </c>
      <c r="AR85" s="27" t="s">
        <v>9</v>
      </c>
      <c r="AS85" s="27" t="s">
        <v>9</v>
      </c>
      <c r="AT85" s="27" t="s">
        <v>9</v>
      </c>
      <c r="AU85" s="27" t="s">
        <v>9</v>
      </c>
      <c r="AV85" s="27">
        <v>9</v>
      </c>
      <c r="AW85" s="27">
        <v>9</v>
      </c>
      <c r="AX85" s="27">
        <v>10</v>
      </c>
      <c r="AY85" s="27">
        <v>10</v>
      </c>
      <c r="AZ85" s="27">
        <v>10</v>
      </c>
      <c r="BA85" s="27">
        <v>9</v>
      </c>
      <c r="BB85" s="27" t="s">
        <v>222</v>
      </c>
      <c r="BC85" s="27" t="s">
        <v>182</v>
      </c>
      <c r="BD85" s="27" t="s">
        <v>191</v>
      </c>
      <c r="BE85" s="27" t="s">
        <v>645</v>
      </c>
      <c r="BF85" s="27" t="s">
        <v>646</v>
      </c>
      <c r="BG85" s="27" t="s">
        <v>647</v>
      </c>
    </row>
    <row r="86" spans="1:59" ht="15.75" customHeight="1" x14ac:dyDescent="0.2">
      <c r="A86" s="27">
        <v>80</v>
      </c>
      <c r="B86" s="28">
        <v>45743.81304228009</v>
      </c>
      <c r="C86" s="28" t="s">
        <v>790</v>
      </c>
      <c r="D86" s="27" t="s">
        <v>176</v>
      </c>
      <c r="E86" s="27" t="s">
        <v>193</v>
      </c>
      <c r="F86" s="27" t="s">
        <v>178</v>
      </c>
      <c r="G86" s="27" t="s">
        <v>179</v>
      </c>
      <c r="H86" s="27" t="s">
        <v>180</v>
      </c>
      <c r="I86" s="27" t="s">
        <v>194</v>
      </c>
      <c r="J86" s="27" t="s">
        <v>9</v>
      </c>
      <c r="K86" s="27" t="s">
        <v>9</v>
      </c>
      <c r="L86" s="27" t="s">
        <v>9</v>
      </c>
      <c r="M86" s="27" t="s">
        <v>9</v>
      </c>
      <c r="N86" s="27" t="s">
        <v>9</v>
      </c>
      <c r="O86" s="27" t="s">
        <v>9</v>
      </c>
      <c r="P86" s="27" t="s">
        <v>9</v>
      </c>
      <c r="Q86" s="27" t="s">
        <v>9</v>
      </c>
      <c r="R86" s="27" t="s">
        <v>9</v>
      </c>
      <c r="S86" s="27" t="s">
        <v>9</v>
      </c>
      <c r="T86" s="27" t="s">
        <v>9</v>
      </c>
      <c r="U86" s="27" t="s">
        <v>9</v>
      </c>
      <c r="V86" s="27" t="s">
        <v>9</v>
      </c>
      <c r="W86" s="27" t="s">
        <v>9</v>
      </c>
      <c r="X86" s="27" t="s">
        <v>9</v>
      </c>
      <c r="Y86" s="27" t="s">
        <v>9</v>
      </c>
      <c r="Z86" s="27" t="s">
        <v>9</v>
      </c>
      <c r="AA86" s="27" t="s">
        <v>9</v>
      </c>
      <c r="AB86" s="27" t="s">
        <v>9</v>
      </c>
      <c r="AC86" s="27" t="s">
        <v>9</v>
      </c>
      <c r="AD86" s="27" t="s">
        <v>9</v>
      </c>
      <c r="AE86" s="27" t="s">
        <v>9</v>
      </c>
      <c r="AF86" s="27" t="s">
        <v>9</v>
      </c>
      <c r="AG86" s="27" t="s">
        <v>9</v>
      </c>
      <c r="AH86" s="27" t="s">
        <v>9</v>
      </c>
      <c r="AI86" s="27" t="s">
        <v>9</v>
      </c>
      <c r="AJ86" s="27" t="s">
        <v>9</v>
      </c>
      <c r="AK86" s="27" t="s">
        <v>9</v>
      </c>
      <c r="AL86" s="27" t="s">
        <v>9</v>
      </c>
      <c r="AM86" s="27" t="s">
        <v>9</v>
      </c>
      <c r="AN86" s="27" t="s">
        <v>9</v>
      </c>
      <c r="AO86" s="27" t="s">
        <v>9</v>
      </c>
      <c r="AP86" s="27" t="s">
        <v>9</v>
      </c>
      <c r="AQ86" s="27" t="s">
        <v>9</v>
      </c>
      <c r="AR86" s="27" t="s">
        <v>9</v>
      </c>
      <c r="AS86" s="27" t="s">
        <v>9</v>
      </c>
      <c r="AT86" s="27" t="s">
        <v>9</v>
      </c>
      <c r="AU86" s="27" t="s">
        <v>9</v>
      </c>
      <c r="AV86" s="27">
        <v>8</v>
      </c>
      <c r="AW86" s="27">
        <v>8</v>
      </c>
      <c r="AX86" s="27">
        <v>9</v>
      </c>
      <c r="AY86" s="27">
        <v>9</v>
      </c>
      <c r="AZ86" s="27">
        <v>9</v>
      </c>
      <c r="BA86" s="27">
        <v>9</v>
      </c>
      <c r="BB86" s="27" t="s">
        <v>209</v>
      </c>
      <c r="BC86" s="27" t="s">
        <v>225</v>
      </c>
      <c r="BD86" s="27" t="s">
        <v>210</v>
      </c>
      <c r="BE86" s="27" t="s">
        <v>648</v>
      </c>
      <c r="BF86" s="27" t="s">
        <v>649</v>
      </c>
      <c r="BG86" s="27" t="s">
        <v>650</v>
      </c>
    </row>
    <row r="87" spans="1:59" ht="15.75" customHeight="1" x14ac:dyDescent="0.2">
      <c r="A87" s="27">
        <v>81</v>
      </c>
      <c r="B87" s="28">
        <v>45743.830384155095</v>
      </c>
      <c r="C87" s="28" t="s">
        <v>792</v>
      </c>
      <c r="D87" s="27" t="s">
        <v>246</v>
      </c>
      <c r="E87" s="27" t="s">
        <v>224</v>
      </c>
      <c r="F87" s="27" t="s">
        <v>200</v>
      </c>
      <c r="G87" s="27" t="s">
        <v>201</v>
      </c>
      <c r="H87" s="27" t="s">
        <v>187</v>
      </c>
      <c r="I87" s="27" t="s">
        <v>194</v>
      </c>
      <c r="J87" s="27" t="s">
        <v>8</v>
      </c>
      <c r="K87" s="27" t="s">
        <v>7</v>
      </c>
      <c r="L87" s="27" t="s">
        <v>7</v>
      </c>
      <c r="M87" s="27" t="s">
        <v>8</v>
      </c>
      <c r="N87" s="27" t="s">
        <v>6</v>
      </c>
      <c r="O87" s="27" t="s">
        <v>7</v>
      </c>
      <c r="P87" s="27" t="s">
        <v>7</v>
      </c>
      <c r="Q87" s="27" t="s">
        <v>7</v>
      </c>
      <c r="R87" s="27" t="s">
        <v>8</v>
      </c>
      <c r="S87" s="27" t="s">
        <v>7</v>
      </c>
      <c r="T87" s="27" t="s">
        <v>8</v>
      </c>
      <c r="U87" s="27" t="s">
        <v>8</v>
      </c>
      <c r="V87" s="27" t="s">
        <v>7</v>
      </c>
      <c r="W87" s="27" t="s">
        <v>7</v>
      </c>
      <c r="X87" s="27" t="s">
        <v>8</v>
      </c>
      <c r="Y87" s="27" t="s">
        <v>9</v>
      </c>
      <c r="Z87" s="27" t="s">
        <v>8</v>
      </c>
      <c r="AA87" s="27" t="s">
        <v>7</v>
      </c>
      <c r="AB87" s="27" t="s">
        <v>8</v>
      </c>
      <c r="AC87" s="27" t="s">
        <v>7</v>
      </c>
      <c r="AD87" s="27" t="s">
        <v>9</v>
      </c>
      <c r="AE87" s="27" t="s">
        <v>9</v>
      </c>
      <c r="AF87" s="27" t="s">
        <v>9</v>
      </c>
      <c r="AG87" s="27" t="s">
        <v>7</v>
      </c>
      <c r="AH87" s="27" t="s">
        <v>7</v>
      </c>
      <c r="AI87" s="27" t="s">
        <v>6</v>
      </c>
      <c r="AJ87" s="27" t="s">
        <v>9</v>
      </c>
      <c r="AK87" s="27" t="s">
        <v>8</v>
      </c>
      <c r="AL87" s="27" t="s">
        <v>7</v>
      </c>
      <c r="AM87" s="27" t="s">
        <v>8</v>
      </c>
      <c r="AN87" s="27" t="s">
        <v>8</v>
      </c>
      <c r="AO87" s="27" t="s">
        <v>7</v>
      </c>
      <c r="AP87" s="27" t="s">
        <v>7</v>
      </c>
      <c r="AQ87" s="27" t="s">
        <v>7</v>
      </c>
      <c r="AR87" s="27" t="s">
        <v>8</v>
      </c>
      <c r="AS87" s="27" t="s">
        <v>9</v>
      </c>
      <c r="AT87" s="27" t="s">
        <v>9</v>
      </c>
      <c r="AU87" s="27" t="s">
        <v>7</v>
      </c>
      <c r="AV87" s="27">
        <v>7</v>
      </c>
      <c r="AW87" s="27">
        <v>5</v>
      </c>
      <c r="AX87" s="27">
        <v>5</v>
      </c>
      <c r="AY87" s="27">
        <v>7</v>
      </c>
      <c r="AZ87" s="27">
        <v>5</v>
      </c>
      <c r="BA87" s="27">
        <v>7</v>
      </c>
      <c r="BB87" s="27" t="s">
        <v>407</v>
      </c>
      <c r="BC87" s="27" t="s">
        <v>408</v>
      </c>
      <c r="BD87" s="27" t="s">
        <v>409</v>
      </c>
      <c r="BE87" s="27" t="s">
        <v>651</v>
      </c>
      <c r="BF87" s="27" t="s">
        <v>652</v>
      </c>
      <c r="BG87" s="27" t="s">
        <v>653</v>
      </c>
    </row>
    <row r="88" spans="1:59" ht="15.75" customHeight="1" x14ac:dyDescent="0.2">
      <c r="A88" s="27">
        <v>82</v>
      </c>
      <c r="B88" s="28">
        <v>45743.830671655094</v>
      </c>
      <c r="C88" s="28" t="s">
        <v>790</v>
      </c>
      <c r="D88" s="27" t="s">
        <v>176</v>
      </c>
      <c r="E88" s="27" t="s">
        <v>193</v>
      </c>
      <c r="F88" s="27" t="s">
        <v>200</v>
      </c>
      <c r="G88" s="27" t="s">
        <v>179</v>
      </c>
      <c r="H88" s="27" t="s">
        <v>180</v>
      </c>
      <c r="I88" s="27" t="s">
        <v>181</v>
      </c>
      <c r="J88" s="27" t="s">
        <v>9</v>
      </c>
      <c r="K88" s="27" t="s">
        <v>9</v>
      </c>
      <c r="L88" s="27" t="s">
        <v>9</v>
      </c>
      <c r="M88" s="27" t="s">
        <v>8</v>
      </c>
      <c r="N88" s="27" t="s">
        <v>8</v>
      </c>
      <c r="O88" s="27" t="s">
        <v>9</v>
      </c>
      <c r="P88" s="27" t="s">
        <v>9</v>
      </c>
      <c r="Q88" s="27" t="s">
        <v>9</v>
      </c>
      <c r="R88" s="27" t="s">
        <v>9</v>
      </c>
      <c r="S88" s="27" t="s">
        <v>9</v>
      </c>
      <c r="T88" s="27" t="s">
        <v>9</v>
      </c>
      <c r="U88" s="27" t="s">
        <v>9</v>
      </c>
      <c r="V88" s="27" t="s">
        <v>8</v>
      </c>
      <c r="W88" s="27" t="s">
        <v>9</v>
      </c>
      <c r="X88" s="27" t="s">
        <v>9</v>
      </c>
      <c r="Y88" s="27" t="s">
        <v>8</v>
      </c>
      <c r="Z88" s="27" t="s">
        <v>9</v>
      </c>
      <c r="AA88" s="27" t="s">
        <v>9</v>
      </c>
      <c r="AB88" s="27" t="s">
        <v>9</v>
      </c>
      <c r="AC88" s="27" t="s">
        <v>9</v>
      </c>
      <c r="AD88" s="27" t="s">
        <v>8</v>
      </c>
      <c r="AE88" s="27" t="s">
        <v>8</v>
      </c>
      <c r="AF88" s="27" t="s">
        <v>8</v>
      </c>
      <c r="AG88" s="27" t="s">
        <v>8</v>
      </c>
      <c r="AH88" s="27" t="s">
        <v>8</v>
      </c>
      <c r="AI88" s="27" t="s">
        <v>8</v>
      </c>
      <c r="AJ88" s="27" t="s">
        <v>8</v>
      </c>
      <c r="AK88" s="27" t="s">
        <v>9</v>
      </c>
      <c r="AL88" s="27" t="s">
        <v>8</v>
      </c>
      <c r="AM88" s="27" t="s">
        <v>8</v>
      </c>
      <c r="AN88" s="27" t="s">
        <v>8</v>
      </c>
      <c r="AO88" s="27" t="s">
        <v>8</v>
      </c>
      <c r="AP88" s="27" t="s">
        <v>9</v>
      </c>
      <c r="AQ88" s="27" t="s">
        <v>8</v>
      </c>
      <c r="AR88" s="27" t="s">
        <v>9</v>
      </c>
      <c r="AS88" s="27" t="s">
        <v>8</v>
      </c>
      <c r="AT88" s="27" t="s">
        <v>8</v>
      </c>
      <c r="AU88" s="27" t="s">
        <v>9</v>
      </c>
      <c r="AV88" s="27">
        <v>10</v>
      </c>
      <c r="AW88" s="27">
        <v>9</v>
      </c>
      <c r="AX88" s="27">
        <v>10</v>
      </c>
      <c r="AY88" s="27">
        <v>10</v>
      </c>
      <c r="AZ88" s="27">
        <v>10</v>
      </c>
      <c r="BA88" s="27">
        <v>10</v>
      </c>
      <c r="BB88" s="27" t="s">
        <v>410</v>
      </c>
      <c r="BC88" s="27" t="s">
        <v>214</v>
      </c>
      <c r="BD88" s="27" t="s">
        <v>210</v>
      </c>
      <c r="BE88" s="27" t="s">
        <v>654</v>
      </c>
      <c r="BF88" s="27" t="s">
        <v>655</v>
      </c>
      <c r="BG88" s="27" t="s">
        <v>656</v>
      </c>
    </row>
    <row r="89" spans="1:59" ht="15.75" customHeight="1" x14ac:dyDescent="0.2">
      <c r="A89" s="27">
        <v>83</v>
      </c>
      <c r="B89" s="28">
        <v>45743.850190358797</v>
      </c>
      <c r="C89" s="28" t="s">
        <v>790</v>
      </c>
      <c r="D89" s="27" t="s">
        <v>176</v>
      </c>
      <c r="E89" s="27" t="s">
        <v>193</v>
      </c>
      <c r="F89" s="27" t="s">
        <v>200</v>
      </c>
      <c r="G89" s="27" t="s">
        <v>179</v>
      </c>
      <c r="H89" s="27" t="s">
        <v>187</v>
      </c>
      <c r="I89" s="27" t="s">
        <v>198</v>
      </c>
      <c r="J89" s="27" t="s">
        <v>9</v>
      </c>
      <c r="K89" s="27" t="s">
        <v>9</v>
      </c>
      <c r="L89" s="27" t="s">
        <v>9</v>
      </c>
      <c r="M89" s="27" t="s">
        <v>9</v>
      </c>
      <c r="N89" s="27" t="s">
        <v>9</v>
      </c>
      <c r="O89" s="27" t="s">
        <v>9</v>
      </c>
      <c r="P89" s="27" t="s">
        <v>9</v>
      </c>
      <c r="Q89" s="27" t="s">
        <v>9</v>
      </c>
      <c r="R89" s="27" t="s">
        <v>9</v>
      </c>
      <c r="S89" s="27" t="s">
        <v>9</v>
      </c>
      <c r="T89" s="27" t="s">
        <v>9</v>
      </c>
      <c r="U89" s="27" t="s">
        <v>9</v>
      </c>
      <c r="V89" s="27" t="s">
        <v>9</v>
      </c>
      <c r="W89" s="27" t="s">
        <v>9</v>
      </c>
      <c r="X89" s="27" t="s">
        <v>9</v>
      </c>
      <c r="Y89" s="27" t="s">
        <v>9</v>
      </c>
      <c r="Z89" s="27" t="s">
        <v>9</v>
      </c>
      <c r="AA89" s="27" t="s">
        <v>9</v>
      </c>
      <c r="AB89" s="27" t="s">
        <v>9</v>
      </c>
      <c r="AC89" s="27" t="s">
        <v>9</v>
      </c>
      <c r="AD89" s="27" t="s">
        <v>9</v>
      </c>
      <c r="AE89" s="27" t="s">
        <v>9</v>
      </c>
      <c r="AF89" s="27" t="s">
        <v>9</v>
      </c>
      <c r="AG89" s="27" t="s">
        <v>9</v>
      </c>
      <c r="AH89" s="27" t="s">
        <v>9</v>
      </c>
      <c r="AI89" s="27" t="s">
        <v>9</v>
      </c>
      <c r="AJ89" s="27" t="s">
        <v>9</v>
      </c>
      <c r="AK89" s="27" t="s">
        <v>9</v>
      </c>
      <c r="AL89" s="27" t="s">
        <v>9</v>
      </c>
      <c r="AM89" s="27" t="s">
        <v>9</v>
      </c>
      <c r="AN89" s="27" t="s">
        <v>9</v>
      </c>
      <c r="AO89" s="27" t="s">
        <v>9</v>
      </c>
      <c r="AP89" s="27" t="s">
        <v>9</v>
      </c>
      <c r="AQ89" s="27" t="s">
        <v>9</v>
      </c>
      <c r="AR89" s="27" t="s">
        <v>9</v>
      </c>
      <c r="AS89" s="27" t="s">
        <v>9</v>
      </c>
      <c r="AT89" s="27" t="s">
        <v>9</v>
      </c>
      <c r="AU89" s="27" t="s">
        <v>9</v>
      </c>
      <c r="AV89" s="27">
        <v>10</v>
      </c>
      <c r="AW89" s="27">
        <v>9</v>
      </c>
      <c r="AX89" s="27">
        <v>10</v>
      </c>
      <c r="AY89" s="27">
        <v>9</v>
      </c>
      <c r="AZ89" s="27">
        <v>9</v>
      </c>
      <c r="BA89" s="27">
        <v>9</v>
      </c>
      <c r="BB89" s="27" t="s">
        <v>199</v>
      </c>
      <c r="BC89" s="27" t="s">
        <v>182</v>
      </c>
      <c r="BD89" s="27" t="s">
        <v>183</v>
      </c>
      <c r="BE89" s="27" t="s">
        <v>657</v>
      </c>
      <c r="BF89" s="27" t="s">
        <v>658</v>
      </c>
      <c r="BG89" s="27" t="s">
        <v>659</v>
      </c>
    </row>
    <row r="90" spans="1:59" ht="15.75" customHeight="1" x14ac:dyDescent="0.2">
      <c r="A90" s="27">
        <v>84</v>
      </c>
      <c r="B90" s="28">
        <v>45743.857086307871</v>
      </c>
      <c r="C90" s="28" t="s">
        <v>792</v>
      </c>
      <c r="D90" s="27" t="s">
        <v>265</v>
      </c>
      <c r="E90" s="27" t="s">
        <v>224</v>
      </c>
      <c r="F90" s="27" t="s">
        <v>200</v>
      </c>
      <c r="G90" s="27" t="s">
        <v>201</v>
      </c>
      <c r="H90" s="27" t="s">
        <v>187</v>
      </c>
      <c r="I90" s="27" t="s">
        <v>194</v>
      </c>
      <c r="J90" s="27" t="s">
        <v>9</v>
      </c>
      <c r="K90" s="27" t="s">
        <v>6</v>
      </c>
      <c r="L90" s="27" t="s">
        <v>9</v>
      </c>
      <c r="M90" s="27" t="s">
        <v>9</v>
      </c>
      <c r="N90" s="27" t="s">
        <v>9</v>
      </c>
      <c r="O90" s="27" t="s">
        <v>9</v>
      </c>
      <c r="P90" s="27" t="s">
        <v>9</v>
      </c>
      <c r="Q90" s="27" t="s">
        <v>9</v>
      </c>
      <c r="R90" s="27" t="s">
        <v>9</v>
      </c>
      <c r="S90" s="27" t="s">
        <v>9</v>
      </c>
      <c r="T90" s="27" t="s">
        <v>9</v>
      </c>
      <c r="U90" s="27" t="s">
        <v>7</v>
      </c>
      <c r="V90" s="27" t="s">
        <v>6</v>
      </c>
      <c r="W90" s="27" t="s">
        <v>9</v>
      </c>
      <c r="X90" s="27" t="s">
        <v>8</v>
      </c>
      <c r="Y90" s="27" t="s">
        <v>8</v>
      </c>
      <c r="Z90" s="27" t="s">
        <v>9</v>
      </c>
      <c r="AA90" s="27" t="s">
        <v>9</v>
      </c>
      <c r="AB90" s="27" t="s">
        <v>6</v>
      </c>
      <c r="AC90" s="27" t="s">
        <v>8</v>
      </c>
      <c r="AD90" s="27" t="s">
        <v>8</v>
      </c>
      <c r="AE90" s="27" t="s">
        <v>8</v>
      </c>
      <c r="AF90" s="27" t="s">
        <v>8</v>
      </c>
      <c r="AG90" s="27" t="s">
        <v>7</v>
      </c>
      <c r="AH90" s="27" t="s">
        <v>7</v>
      </c>
      <c r="AI90" s="27" t="s">
        <v>8</v>
      </c>
      <c r="AJ90" s="27" t="s">
        <v>8</v>
      </c>
      <c r="AK90" s="27" t="s">
        <v>8</v>
      </c>
      <c r="AL90" s="27" t="s">
        <v>9</v>
      </c>
      <c r="AM90" s="27" t="s">
        <v>8</v>
      </c>
      <c r="AN90" s="27" t="s">
        <v>8</v>
      </c>
      <c r="AO90" s="27" t="s">
        <v>6</v>
      </c>
      <c r="AP90" s="27" t="s">
        <v>8</v>
      </c>
      <c r="AQ90" s="27" t="s">
        <v>6</v>
      </c>
      <c r="AR90" s="27" t="s">
        <v>9</v>
      </c>
      <c r="AS90" s="27" t="s">
        <v>8</v>
      </c>
      <c r="AT90" s="27" t="s">
        <v>7</v>
      </c>
      <c r="AU90" s="27" t="s">
        <v>9</v>
      </c>
      <c r="AV90" s="27">
        <v>8</v>
      </c>
      <c r="AW90" s="27">
        <v>8</v>
      </c>
      <c r="AX90" s="27">
        <v>10</v>
      </c>
      <c r="AY90" s="27">
        <v>10</v>
      </c>
      <c r="AZ90" s="27">
        <v>7</v>
      </c>
      <c r="BA90" s="27">
        <v>8</v>
      </c>
      <c r="BB90" s="27" t="s">
        <v>206</v>
      </c>
      <c r="BC90" s="27" t="s">
        <v>182</v>
      </c>
      <c r="BD90" s="27" t="s">
        <v>411</v>
      </c>
      <c r="BE90" s="27" t="s">
        <v>263</v>
      </c>
      <c r="BF90" s="27" t="s">
        <v>660</v>
      </c>
      <c r="BG90" s="27" t="s">
        <v>661</v>
      </c>
    </row>
    <row r="91" spans="1:59" ht="15.75" customHeight="1" x14ac:dyDescent="0.2">
      <c r="A91" s="27">
        <v>85</v>
      </c>
      <c r="B91" s="28">
        <v>45743.863914155096</v>
      </c>
      <c r="C91" s="28" t="s">
        <v>790</v>
      </c>
      <c r="D91" s="27" t="s">
        <v>249</v>
      </c>
      <c r="E91" s="27" t="s">
        <v>327</v>
      </c>
      <c r="F91" s="27" t="s">
        <v>200</v>
      </c>
      <c r="G91" s="27" t="s">
        <v>201</v>
      </c>
      <c r="H91" s="27" t="s">
        <v>180</v>
      </c>
      <c r="I91" s="27" t="s">
        <v>194</v>
      </c>
      <c r="J91" s="27" t="s">
        <v>7</v>
      </c>
      <c r="K91" s="27" t="s">
        <v>7</v>
      </c>
      <c r="L91" s="27" t="s">
        <v>7</v>
      </c>
      <c r="M91" s="27" t="s">
        <v>5</v>
      </c>
      <c r="N91" s="27" t="s">
        <v>9</v>
      </c>
      <c r="O91" s="27" t="s">
        <v>8</v>
      </c>
      <c r="P91" s="27" t="s">
        <v>7</v>
      </c>
      <c r="Q91" s="27" t="s">
        <v>7</v>
      </c>
      <c r="R91" s="27" t="s">
        <v>9</v>
      </c>
      <c r="S91" s="27" t="s">
        <v>6</v>
      </c>
      <c r="T91" s="27" t="s">
        <v>5</v>
      </c>
      <c r="U91" s="27" t="s">
        <v>7</v>
      </c>
      <c r="V91" s="27" t="s">
        <v>6</v>
      </c>
      <c r="W91" s="27" t="s">
        <v>7</v>
      </c>
      <c r="X91" s="27" t="s">
        <v>7</v>
      </c>
      <c r="Y91" s="27" t="s">
        <v>7</v>
      </c>
      <c r="Z91" s="27" t="s">
        <v>7</v>
      </c>
      <c r="AA91" s="27" t="s">
        <v>6</v>
      </c>
      <c r="AB91" s="27" t="s">
        <v>7</v>
      </c>
      <c r="AC91" s="27" t="s">
        <v>7</v>
      </c>
      <c r="AD91" s="27" t="s">
        <v>6</v>
      </c>
      <c r="AE91" s="27" t="s">
        <v>6</v>
      </c>
      <c r="AF91" s="27" t="s">
        <v>8</v>
      </c>
      <c r="AG91" s="27" t="s">
        <v>5</v>
      </c>
      <c r="AH91" s="27" t="s">
        <v>5</v>
      </c>
      <c r="AI91" s="27" t="s">
        <v>5</v>
      </c>
      <c r="AJ91" s="27" t="s">
        <v>6</v>
      </c>
      <c r="AK91" s="27" t="s">
        <v>7</v>
      </c>
      <c r="AL91" s="27" t="s">
        <v>7</v>
      </c>
      <c r="AM91" s="27" t="s">
        <v>6</v>
      </c>
      <c r="AN91" s="27" t="s">
        <v>6</v>
      </c>
      <c r="AO91" s="27" t="s">
        <v>7</v>
      </c>
      <c r="AP91" s="27" t="s">
        <v>7</v>
      </c>
      <c r="AQ91" s="27" t="s">
        <v>5</v>
      </c>
      <c r="AR91" s="27" t="s">
        <v>6</v>
      </c>
      <c r="AS91" s="27" t="s">
        <v>6</v>
      </c>
      <c r="AT91" s="27" t="s">
        <v>5</v>
      </c>
      <c r="AU91" s="27" t="s">
        <v>5</v>
      </c>
      <c r="AV91" s="27">
        <v>6</v>
      </c>
      <c r="AW91" s="27">
        <v>4</v>
      </c>
      <c r="AX91" s="27">
        <v>3</v>
      </c>
      <c r="AY91" s="27">
        <v>5</v>
      </c>
      <c r="AZ91" s="27">
        <v>7</v>
      </c>
      <c r="BA91" s="27">
        <v>6</v>
      </c>
      <c r="BB91" s="27" t="s">
        <v>199</v>
      </c>
      <c r="BC91" s="27" t="s">
        <v>248</v>
      </c>
      <c r="BD91" s="27" t="s">
        <v>196</v>
      </c>
      <c r="BE91" s="27" t="s">
        <v>662</v>
      </c>
      <c r="BF91" s="27" t="s">
        <v>663</v>
      </c>
      <c r="BG91" s="27" t="s">
        <v>637</v>
      </c>
    </row>
    <row r="92" spans="1:59" ht="15.75" customHeight="1" x14ac:dyDescent="0.2">
      <c r="A92" s="27">
        <v>86</v>
      </c>
      <c r="B92" s="28">
        <v>45743.907391250003</v>
      </c>
      <c r="C92" s="28" t="s">
        <v>790</v>
      </c>
      <c r="D92" s="27" t="s">
        <v>249</v>
      </c>
      <c r="E92" s="27" t="s">
        <v>177</v>
      </c>
      <c r="F92" s="27" t="s">
        <v>200</v>
      </c>
      <c r="G92" s="27" t="s">
        <v>201</v>
      </c>
      <c r="H92" s="27" t="s">
        <v>187</v>
      </c>
      <c r="I92" s="27" t="s">
        <v>194</v>
      </c>
      <c r="J92" s="27" t="s">
        <v>9</v>
      </c>
      <c r="K92" s="27" t="s">
        <v>9</v>
      </c>
      <c r="L92" s="27" t="s">
        <v>9</v>
      </c>
      <c r="M92" s="27" t="s">
        <v>9</v>
      </c>
      <c r="N92" s="27" t="s">
        <v>9</v>
      </c>
      <c r="O92" s="27" t="s">
        <v>9</v>
      </c>
      <c r="P92" s="27" t="s">
        <v>9</v>
      </c>
      <c r="Q92" s="27" t="s">
        <v>9</v>
      </c>
      <c r="R92" s="27" t="s">
        <v>9</v>
      </c>
      <c r="S92" s="27" t="s">
        <v>9</v>
      </c>
      <c r="T92" s="27" t="s">
        <v>9</v>
      </c>
      <c r="U92" s="27" t="s">
        <v>9</v>
      </c>
      <c r="V92" s="27" t="s">
        <v>9</v>
      </c>
      <c r="W92" s="27" t="s">
        <v>9</v>
      </c>
      <c r="X92" s="27" t="s">
        <v>9</v>
      </c>
      <c r="Y92" s="27" t="s">
        <v>9</v>
      </c>
      <c r="Z92" s="27" t="s">
        <v>9</v>
      </c>
      <c r="AA92" s="27" t="s">
        <v>9</v>
      </c>
      <c r="AB92" s="27" t="s">
        <v>9</v>
      </c>
      <c r="AC92" s="27" t="s">
        <v>9</v>
      </c>
      <c r="AD92" s="27" t="s">
        <v>9</v>
      </c>
      <c r="AE92" s="27" t="s">
        <v>9</v>
      </c>
      <c r="AF92" s="27" t="s">
        <v>9</v>
      </c>
      <c r="AG92" s="27" t="s">
        <v>9</v>
      </c>
      <c r="AH92" s="27" t="s">
        <v>9</v>
      </c>
      <c r="AI92" s="27" t="s">
        <v>9</v>
      </c>
      <c r="AJ92" s="27" t="s">
        <v>9</v>
      </c>
      <c r="AK92" s="27" t="s">
        <v>9</v>
      </c>
      <c r="AL92" s="27" t="s">
        <v>9</v>
      </c>
      <c r="AM92" s="27" t="s">
        <v>9</v>
      </c>
      <c r="AN92" s="27" t="s">
        <v>9</v>
      </c>
      <c r="AO92" s="27" t="s">
        <v>9</v>
      </c>
      <c r="AP92" s="27" t="s">
        <v>9</v>
      </c>
      <c r="AQ92" s="27" t="s">
        <v>9</v>
      </c>
      <c r="AR92" s="27" t="s">
        <v>9</v>
      </c>
      <c r="AS92" s="27" t="s">
        <v>9</v>
      </c>
      <c r="AT92" s="27" t="s">
        <v>9</v>
      </c>
      <c r="AU92" s="27" t="s">
        <v>9</v>
      </c>
      <c r="AV92" s="27">
        <v>10</v>
      </c>
      <c r="AW92" s="27">
        <v>10</v>
      </c>
      <c r="AX92" s="27">
        <v>10</v>
      </c>
      <c r="AY92" s="27">
        <v>10</v>
      </c>
      <c r="AZ92" s="27">
        <v>0</v>
      </c>
      <c r="BA92" s="27">
        <v>9</v>
      </c>
      <c r="BB92" s="27" t="s">
        <v>412</v>
      </c>
      <c r="BC92" s="27" t="s">
        <v>182</v>
      </c>
      <c r="BD92" s="27" t="s">
        <v>191</v>
      </c>
      <c r="BE92" s="27" t="s">
        <v>664</v>
      </c>
      <c r="BF92" s="27" t="s">
        <v>665</v>
      </c>
      <c r="BG92" s="27" t="s">
        <v>666</v>
      </c>
    </row>
    <row r="93" spans="1:59" ht="15.75" customHeight="1" x14ac:dyDescent="0.2">
      <c r="A93" s="27">
        <v>87</v>
      </c>
      <c r="B93" s="28">
        <v>45744.006960451385</v>
      </c>
      <c r="C93" s="28" t="s">
        <v>788</v>
      </c>
      <c r="D93" s="27" t="s">
        <v>212</v>
      </c>
      <c r="E93" s="27" t="s">
        <v>193</v>
      </c>
      <c r="F93" s="27" t="s">
        <v>200</v>
      </c>
      <c r="G93" s="27" t="s">
        <v>179</v>
      </c>
      <c r="H93" s="27" t="s">
        <v>187</v>
      </c>
      <c r="I93" s="27" t="s">
        <v>188</v>
      </c>
      <c r="J93" s="27" t="s">
        <v>9</v>
      </c>
      <c r="K93" s="27" t="s">
        <v>8</v>
      </c>
      <c r="L93" s="27" t="s">
        <v>9</v>
      </c>
      <c r="M93" s="27" t="s">
        <v>9</v>
      </c>
      <c r="N93" s="27" t="s">
        <v>9</v>
      </c>
      <c r="O93" s="27" t="s">
        <v>9</v>
      </c>
      <c r="P93" s="27" t="s">
        <v>8</v>
      </c>
      <c r="Q93" s="27" t="s">
        <v>8</v>
      </c>
      <c r="R93" s="27" t="s">
        <v>9</v>
      </c>
      <c r="S93" s="27" t="s">
        <v>9</v>
      </c>
      <c r="T93" s="27" t="s">
        <v>9</v>
      </c>
      <c r="U93" s="27" t="s">
        <v>9</v>
      </c>
      <c r="V93" s="27" t="s">
        <v>9</v>
      </c>
      <c r="W93" s="27" t="s">
        <v>9</v>
      </c>
      <c r="X93" s="27" t="s">
        <v>9</v>
      </c>
      <c r="Y93" s="27" t="s">
        <v>9</v>
      </c>
      <c r="Z93" s="27" t="s">
        <v>9</v>
      </c>
      <c r="AA93" s="27" t="s">
        <v>9</v>
      </c>
      <c r="AB93" s="27" t="s">
        <v>9</v>
      </c>
      <c r="AC93" s="27" t="s">
        <v>9</v>
      </c>
      <c r="AD93" s="27" t="s">
        <v>8</v>
      </c>
      <c r="AE93" s="27" t="s">
        <v>9</v>
      </c>
      <c r="AF93" s="27" t="s">
        <v>9</v>
      </c>
      <c r="AG93" s="27" t="s">
        <v>8</v>
      </c>
      <c r="AH93" s="27" t="s">
        <v>8</v>
      </c>
      <c r="AI93" s="27" t="s">
        <v>7</v>
      </c>
      <c r="AJ93" s="27" t="s">
        <v>9</v>
      </c>
      <c r="AK93" s="27" t="s">
        <v>9</v>
      </c>
      <c r="AL93" s="27" t="s">
        <v>9</v>
      </c>
      <c r="AM93" s="27" t="s">
        <v>9</v>
      </c>
      <c r="AN93" s="27" t="s">
        <v>8</v>
      </c>
      <c r="AO93" s="27" t="s">
        <v>8</v>
      </c>
      <c r="AP93" s="27" t="s">
        <v>9</v>
      </c>
      <c r="AQ93" s="27" t="s">
        <v>8</v>
      </c>
      <c r="AR93" s="27" t="s">
        <v>9</v>
      </c>
      <c r="AS93" s="27" t="s">
        <v>9</v>
      </c>
      <c r="AT93" s="27" t="s">
        <v>9</v>
      </c>
      <c r="AU93" s="27" t="s">
        <v>9</v>
      </c>
      <c r="AV93" s="27">
        <v>10</v>
      </c>
      <c r="AW93" s="27">
        <v>9</v>
      </c>
      <c r="AX93" s="27">
        <v>10</v>
      </c>
      <c r="AY93" s="27">
        <v>10</v>
      </c>
      <c r="AZ93" s="27">
        <v>10</v>
      </c>
      <c r="BA93" s="27">
        <v>10</v>
      </c>
      <c r="BB93" s="27" t="s">
        <v>209</v>
      </c>
      <c r="BC93" s="27" t="s">
        <v>182</v>
      </c>
      <c r="BD93" s="27" t="s">
        <v>210</v>
      </c>
      <c r="BE93" s="27" t="s">
        <v>247</v>
      </c>
      <c r="BF93" s="27" t="s">
        <v>667</v>
      </c>
      <c r="BG93" s="27" t="s">
        <v>668</v>
      </c>
    </row>
    <row r="94" spans="1:59" ht="15.75" customHeight="1" x14ac:dyDescent="0.2">
      <c r="A94" s="27">
        <v>88</v>
      </c>
      <c r="B94" s="28">
        <v>45744.040075775461</v>
      </c>
      <c r="C94" s="28" t="s">
        <v>788</v>
      </c>
      <c r="D94" s="27" t="s">
        <v>176</v>
      </c>
      <c r="E94" s="27" t="s">
        <v>185</v>
      </c>
      <c r="F94" s="27" t="s">
        <v>178</v>
      </c>
      <c r="G94" s="27" t="s">
        <v>201</v>
      </c>
      <c r="H94" s="27" t="s">
        <v>187</v>
      </c>
      <c r="I94" s="27" t="s">
        <v>208</v>
      </c>
      <c r="J94" s="27" t="s">
        <v>8</v>
      </c>
      <c r="K94" s="27" t="s">
        <v>8</v>
      </c>
      <c r="L94" s="27" t="s">
        <v>8</v>
      </c>
      <c r="M94" s="27" t="s">
        <v>8</v>
      </c>
      <c r="N94" s="27" t="s">
        <v>8</v>
      </c>
      <c r="O94" s="27" t="s">
        <v>8</v>
      </c>
      <c r="P94" s="27" t="s">
        <v>8</v>
      </c>
      <c r="Q94" s="27" t="s">
        <v>8</v>
      </c>
      <c r="R94" s="27" t="s">
        <v>8</v>
      </c>
      <c r="S94" s="27" t="s">
        <v>8</v>
      </c>
      <c r="T94" s="27" t="s">
        <v>8</v>
      </c>
      <c r="U94" s="27" t="s">
        <v>8</v>
      </c>
      <c r="V94" s="27" t="s">
        <v>8</v>
      </c>
      <c r="W94" s="27" t="s">
        <v>8</v>
      </c>
      <c r="X94" s="27" t="s">
        <v>8</v>
      </c>
      <c r="Y94" s="27" t="s">
        <v>8</v>
      </c>
      <c r="Z94" s="27" t="s">
        <v>8</v>
      </c>
      <c r="AA94" s="27" t="s">
        <v>8</v>
      </c>
      <c r="AB94" s="27" t="s">
        <v>8</v>
      </c>
      <c r="AC94" s="27" t="s">
        <v>8</v>
      </c>
      <c r="AD94" s="27" t="s">
        <v>8</v>
      </c>
      <c r="AE94" s="27" t="s">
        <v>8</v>
      </c>
      <c r="AF94" s="27" t="s">
        <v>8</v>
      </c>
      <c r="AG94" s="27" t="s">
        <v>8</v>
      </c>
      <c r="AH94" s="27" t="s">
        <v>8</v>
      </c>
      <c r="AI94" s="27" t="s">
        <v>8</v>
      </c>
      <c r="AJ94" s="27" t="s">
        <v>8</v>
      </c>
      <c r="AK94" s="27" t="s">
        <v>8</v>
      </c>
      <c r="AL94" s="27" t="s">
        <v>8</v>
      </c>
      <c r="AM94" s="27" t="s">
        <v>8</v>
      </c>
      <c r="AN94" s="27" t="s">
        <v>8</v>
      </c>
      <c r="AO94" s="27" t="s">
        <v>8</v>
      </c>
      <c r="AP94" s="27" t="s">
        <v>8</v>
      </c>
      <c r="AQ94" s="27" t="s">
        <v>8</v>
      </c>
      <c r="AR94" s="27" t="s">
        <v>8</v>
      </c>
      <c r="AS94" s="27" t="s">
        <v>8</v>
      </c>
      <c r="AT94" s="27" t="s">
        <v>8</v>
      </c>
      <c r="AU94" s="27" t="s">
        <v>8</v>
      </c>
      <c r="AV94" s="27">
        <v>10</v>
      </c>
      <c r="AW94" s="27">
        <v>10</v>
      </c>
      <c r="AX94" s="27">
        <v>10</v>
      </c>
      <c r="AY94" s="27">
        <v>10</v>
      </c>
      <c r="AZ94" s="27">
        <v>10</v>
      </c>
      <c r="BA94" s="27">
        <v>10</v>
      </c>
      <c r="BB94" s="27" t="s">
        <v>199</v>
      </c>
      <c r="BC94" s="27" t="s">
        <v>182</v>
      </c>
      <c r="BD94" s="27" t="s">
        <v>210</v>
      </c>
      <c r="BE94" s="27" t="s">
        <v>669</v>
      </c>
      <c r="BF94" s="27" t="s">
        <v>670</v>
      </c>
      <c r="BG94" s="27" t="s">
        <v>242</v>
      </c>
    </row>
    <row r="95" spans="1:59" ht="15.75" customHeight="1" x14ac:dyDescent="0.2">
      <c r="A95" s="27">
        <v>89</v>
      </c>
      <c r="B95" s="28">
        <v>45744.323884270838</v>
      </c>
      <c r="C95" s="28" t="s">
        <v>790</v>
      </c>
      <c r="D95" s="27" t="s">
        <v>176</v>
      </c>
      <c r="E95" s="27" t="s">
        <v>193</v>
      </c>
      <c r="F95" s="27" t="s">
        <v>200</v>
      </c>
      <c r="G95" s="27" t="s">
        <v>179</v>
      </c>
      <c r="H95" s="27" t="s">
        <v>187</v>
      </c>
      <c r="I95" s="27" t="s">
        <v>194</v>
      </c>
      <c r="J95" s="27" t="s">
        <v>9</v>
      </c>
      <c r="K95" s="27" t="s">
        <v>8</v>
      </c>
      <c r="L95" s="27" t="s">
        <v>9</v>
      </c>
      <c r="M95" s="27" t="s">
        <v>9</v>
      </c>
      <c r="N95" s="27" t="s">
        <v>8</v>
      </c>
      <c r="O95" s="27" t="s">
        <v>9</v>
      </c>
      <c r="P95" s="27" t="s">
        <v>7</v>
      </c>
      <c r="Q95" s="27" t="s">
        <v>8</v>
      </c>
      <c r="R95" s="27" t="s">
        <v>9</v>
      </c>
      <c r="S95" s="27" t="s">
        <v>8</v>
      </c>
      <c r="T95" s="27" t="s">
        <v>9</v>
      </c>
      <c r="U95" s="27" t="s">
        <v>7</v>
      </c>
      <c r="V95" s="27" t="s">
        <v>8</v>
      </c>
      <c r="W95" s="27" t="s">
        <v>9</v>
      </c>
      <c r="X95" s="27" t="s">
        <v>8</v>
      </c>
      <c r="Y95" s="27" t="s">
        <v>8</v>
      </c>
      <c r="Z95" s="27" t="s">
        <v>8</v>
      </c>
      <c r="AA95" s="27" t="s">
        <v>8</v>
      </c>
      <c r="AB95" s="27" t="s">
        <v>8</v>
      </c>
      <c r="AC95" s="27" t="s">
        <v>8</v>
      </c>
      <c r="AD95" s="27" t="s">
        <v>8</v>
      </c>
      <c r="AE95" s="27" t="s">
        <v>8</v>
      </c>
      <c r="AF95" s="27" t="s">
        <v>8</v>
      </c>
      <c r="AG95" s="27" t="s">
        <v>7</v>
      </c>
      <c r="AH95" s="27" t="s">
        <v>6</v>
      </c>
      <c r="AI95" s="27" t="s">
        <v>6</v>
      </c>
      <c r="AJ95" s="27" t="s">
        <v>8</v>
      </c>
      <c r="AK95" s="27" t="s">
        <v>8</v>
      </c>
      <c r="AL95" s="27" t="s">
        <v>8</v>
      </c>
      <c r="AM95" s="27" t="s">
        <v>8</v>
      </c>
      <c r="AN95" s="27" t="s">
        <v>8</v>
      </c>
      <c r="AO95" s="27" t="s">
        <v>7</v>
      </c>
      <c r="AP95" s="27" t="s">
        <v>8</v>
      </c>
      <c r="AQ95" s="27" t="s">
        <v>8</v>
      </c>
      <c r="AR95" s="27" t="s">
        <v>7</v>
      </c>
      <c r="AS95" s="27" t="s">
        <v>8</v>
      </c>
      <c r="AT95" s="27" t="s">
        <v>8</v>
      </c>
      <c r="AU95" s="27" t="s">
        <v>8</v>
      </c>
      <c r="AV95" s="27">
        <v>7</v>
      </c>
      <c r="AW95" s="27">
        <v>7</v>
      </c>
      <c r="AX95" s="27">
        <v>8</v>
      </c>
      <c r="AY95" s="27">
        <v>8</v>
      </c>
      <c r="AZ95" s="27">
        <v>7</v>
      </c>
      <c r="BA95" s="27">
        <v>8</v>
      </c>
      <c r="BB95" s="27" t="s">
        <v>255</v>
      </c>
      <c r="BC95" s="27" t="s">
        <v>214</v>
      </c>
      <c r="BD95" s="27" t="s">
        <v>413</v>
      </c>
      <c r="BE95" s="27" t="s">
        <v>671</v>
      </c>
      <c r="BF95" s="27" t="s">
        <v>672</v>
      </c>
      <c r="BG95" s="27" t="s">
        <v>673</v>
      </c>
    </row>
    <row r="96" spans="1:59" ht="15.75" customHeight="1" x14ac:dyDescent="0.2">
      <c r="A96" s="27">
        <v>90</v>
      </c>
      <c r="B96" s="28">
        <v>45744.353902361108</v>
      </c>
      <c r="C96" s="28" t="s">
        <v>788</v>
      </c>
      <c r="D96" s="27" t="s">
        <v>176</v>
      </c>
      <c r="E96" s="27" t="s">
        <v>185</v>
      </c>
      <c r="F96" s="27" t="s">
        <v>200</v>
      </c>
      <c r="G96" s="27" t="s">
        <v>179</v>
      </c>
      <c r="H96" s="27" t="s">
        <v>187</v>
      </c>
      <c r="I96" s="27" t="s">
        <v>198</v>
      </c>
      <c r="J96" s="27" t="s">
        <v>8</v>
      </c>
      <c r="K96" s="27" t="s">
        <v>8</v>
      </c>
      <c r="L96" s="27" t="s">
        <v>8</v>
      </c>
      <c r="M96" s="27" t="s">
        <v>8</v>
      </c>
      <c r="N96" s="27" t="s">
        <v>8</v>
      </c>
      <c r="O96" s="27" t="s">
        <v>8</v>
      </c>
      <c r="P96" s="27" t="s">
        <v>8</v>
      </c>
      <c r="Q96" s="27" t="s">
        <v>8</v>
      </c>
      <c r="R96" s="27" t="s">
        <v>8</v>
      </c>
      <c r="S96" s="27" t="s">
        <v>8</v>
      </c>
      <c r="T96" s="27" t="s">
        <v>8</v>
      </c>
      <c r="U96" s="27" t="s">
        <v>8</v>
      </c>
      <c r="V96" s="27" t="s">
        <v>8</v>
      </c>
      <c r="W96" s="27" t="s">
        <v>8</v>
      </c>
      <c r="X96" s="27" t="s">
        <v>8</v>
      </c>
      <c r="Y96" s="27" t="s">
        <v>5</v>
      </c>
      <c r="Z96" s="27" t="s">
        <v>8</v>
      </c>
      <c r="AA96" s="27" t="s">
        <v>8</v>
      </c>
      <c r="AB96" s="27" t="s">
        <v>8</v>
      </c>
      <c r="AC96" s="27" t="s">
        <v>8</v>
      </c>
      <c r="AD96" s="27" t="s">
        <v>8</v>
      </c>
      <c r="AE96" s="27" t="s">
        <v>8</v>
      </c>
      <c r="AF96" s="27" t="s">
        <v>8</v>
      </c>
      <c r="AG96" s="27" t="s">
        <v>8</v>
      </c>
      <c r="AH96" s="27" t="s">
        <v>8</v>
      </c>
      <c r="AI96" s="27" t="s">
        <v>8</v>
      </c>
      <c r="AJ96" s="27" t="s">
        <v>8</v>
      </c>
      <c r="AK96" s="27" t="s">
        <v>8</v>
      </c>
      <c r="AL96" s="27" t="s">
        <v>8</v>
      </c>
      <c r="AM96" s="27" t="s">
        <v>8</v>
      </c>
      <c r="AN96" s="27" t="s">
        <v>8</v>
      </c>
      <c r="AO96" s="27" t="s">
        <v>8</v>
      </c>
      <c r="AP96" s="27" t="s">
        <v>8</v>
      </c>
      <c r="AQ96" s="27" t="s">
        <v>8</v>
      </c>
      <c r="AR96" s="27" t="s">
        <v>8</v>
      </c>
      <c r="AS96" s="27" t="s">
        <v>8</v>
      </c>
      <c r="AT96" s="27" t="s">
        <v>8</v>
      </c>
      <c r="AU96" s="27" t="s">
        <v>8</v>
      </c>
      <c r="AV96" s="27">
        <v>8</v>
      </c>
      <c r="AW96" s="27">
        <v>10</v>
      </c>
      <c r="AX96" s="27">
        <v>8</v>
      </c>
      <c r="AY96" s="27">
        <v>10</v>
      </c>
      <c r="AZ96" s="27">
        <v>10</v>
      </c>
      <c r="BA96" s="27">
        <v>8</v>
      </c>
      <c r="BB96" s="27" t="s">
        <v>189</v>
      </c>
      <c r="BC96" s="27" t="s">
        <v>182</v>
      </c>
      <c r="BD96" s="27" t="s">
        <v>239</v>
      </c>
      <c r="BE96" s="27" t="s">
        <v>674</v>
      </c>
      <c r="BF96" s="27" t="s">
        <v>675</v>
      </c>
      <c r="BG96" s="27" t="s">
        <v>676</v>
      </c>
    </row>
    <row r="97" spans="1:59" ht="15.75" customHeight="1" x14ac:dyDescent="0.2">
      <c r="A97" s="27">
        <v>91</v>
      </c>
      <c r="B97" s="28">
        <v>45744.392935162032</v>
      </c>
      <c r="C97" s="28" t="s">
        <v>793</v>
      </c>
      <c r="D97" s="27" t="s">
        <v>176</v>
      </c>
      <c r="E97" s="27" t="s">
        <v>193</v>
      </c>
      <c r="F97" s="27" t="s">
        <v>200</v>
      </c>
      <c r="G97" s="27" t="s">
        <v>201</v>
      </c>
      <c r="H97" s="27" t="s">
        <v>187</v>
      </c>
      <c r="I97" s="27" t="s">
        <v>198</v>
      </c>
      <c r="J97" s="27" t="s">
        <v>8</v>
      </c>
      <c r="K97" s="27" t="s">
        <v>8</v>
      </c>
      <c r="L97" s="27" t="s">
        <v>8</v>
      </c>
      <c r="M97" s="27" t="s">
        <v>7</v>
      </c>
      <c r="N97" s="27" t="s">
        <v>8</v>
      </c>
      <c r="O97" s="27" t="s">
        <v>8</v>
      </c>
      <c r="P97" s="27" t="s">
        <v>7</v>
      </c>
      <c r="Q97" s="27" t="s">
        <v>8</v>
      </c>
      <c r="R97" s="27" t="s">
        <v>8</v>
      </c>
      <c r="S97" s="27" t="s">
        <v>7</v>
      </c>
      <c r="T97" s="27" t="s">
        <v>8</v>
      </c>
      <c r="U97" s="27" t="s">
        <v>7</v>
      </c>
      <c r="V97" s="27" t="s">
        <v>7</v>
      </c>
      <c r="W97" s="27" t="s">
        <v>7</v>
      </c>
      <c r="X97" s="27" t="s">
        <v>7</v>
      </c>
      <c r="Y97" s="27" t="s">
        <v>7</v>
      </c>
      <c r="Z97" s="27" t="s">
        <v>8</v>
      </c>
      <c r="AA97" s="27" t="s">
        <v>8</v>
      </c>
      <c r="AB97" s="27" t="s">
        <v>8</v>
      </c>
      <c r="AC97" s="27" t="s">
        <v>8</v>
      </c>
      <c r="AD97" s="27" t="s">
        <v>8</v>
      </c>
      <c r="AE97" s="27" t="s">
        <v>8</v>
      </c>
      <c r="AF97" s="27" t="s">
        <v>8</v>
      </c>
      <c r="AG97" s="27" t="s">
        <v>6</v>
      </c>
      <c r="AH97" s="27" t="s">
        <v>6</v>
      </c>
      <c r="AI97" s="27" t="s">
        <v>6</v>
      </c>
      <c r="AJ97" s="27" t="s">
        <v>8</v>
      </c>
      <c r="AK97" s="27" t="s">
        <v>7</v>
      </c>
      <c r="AL97" s="27" t="s">
        <v>7</v>
      </c>
      <c r="AM97" s="27" t="s">
        <v>8</v>
      </c>
      <c r="AN97" s="27" t="s">
        <v>7</v>
      </c>
      <c r="AO97" s="27" t="s">
        <v>7</v>
      </c>
      <c r="AP97" s="27" t="s">
        <v>7</v>
      </c>
      <c r="AQ97" s="27" t="s">
        <v>7</v>
      </c>
      <c r="AR97" s="27" t="s">
        <v>8</v>
      </c>
      <c r="AS97" s="27" t="s">
        <v>8</v>
      </c>
      <c r="AT97" s="27" t="s">
        <v>7</v>
      </c>
      <c r="AU97" s="27" t="s">
        <v>7</v>
      </c>
      <c r="AV97" s="27">
        <v>7</v>
      </c>
      <c r="AW97" s="27">
        <v>8</v>
      </c>
      <c r="AX97" s="27">
        <v>7</v>
      </c>
      <c r="AY97" s="27">
        <v>9</v>
      </c>
      <c r="AZ97" s="27">
        <v>7</v>
      </c>
      <c r="BA97" s="27">
        <v>7</v>
      </c>
      <c r="BB97" s="27" t="s">
        <v>414</v>
      </c>
      <c r="BC97" s="27" t="s">
        <v>190</v>
      </c>
      <c r="BD97" s="27" t="s">
        <v>233</v>
      </c>
      <c r="BE97" s="27" t="s">
        <v>677</v>
      </c>
      <c r="BF97" s="27" t="s">
        <v>678</v>
      </c>
      <c r="BG97" s="27" t="s">
        <v>679</v>
      </c>
    </row>
    <row r="98" spans="1:59" ht="15.75" customHeight="1" x14ac:dyDescent="0.2">
      <c r="A98" s="27">
        <v>92</v>
      </c>
      <c r="B98" s="28">
        <v>45744.402980127314</v>
      </c>
      <c r="C98" s="28" t="s">
        <v>792</v>
      </c>
      <c r="D98" s="27" t="s">
        <v>266</v>
      </c>
      <c r="E98" s="27" t="s">
        <v>236</v>
      </c>
      <c r="F98" s="27" t="s">
        <v>200</v>
      </c>
      <c r="G98" s="27" t="s">
        <v>201</v>
      </c>
      <c r="H98" s="27" t="s">
        <v>180</v>
      </c>
      <c r="I98" s="27" t="s">
        <v>194</v>
      </c>
      <c r="J98" s="27" t="s">
        <v>8</v>
      </c>
      <c r="K98" s="27" t="s">
        <v>8</v>
      </c>
      <c r="L98" s="27" t="s">
        <v>9</v>
      </c>
      <c r="M98" s="27" t="s">
        <v>9</v>
      </c>
      <c r="N98" s="27" t="s">
        <v>9</v>
      </c>
      <c r="O98" s="27" t="s">
        <v>8</v>
      </c>
      <c r="P98" s="27" t="s">
        <v>5</v>
      </c>
      <c r="Q98" s="27" t="s">
        <v>8</v>
      </c>
      <c r="R98" s="27" t="s">
        <v>7</v>
      </c>
      <c r="S98" s="27" t="s">
        <v>8</v>
      </c>
      <c r="T98" s="27" t="s">
        <v>8</v>
      </c>
      <c r="U98" s="27" t="s">
        <v>6</v>
      </c>
      <c r="V98" s="27" t="s">
        <v>8</v>
      </c>
      <c r="W98" s="27" t="s">
        <v>8</v>
      </c>
      <c r="X98" s="27" t="s">
        <v>5</v>
      </c>
      <c r="Y98" s="27" t="s">
        <v>5</v>
      </c>
      <c r="Z98" s="27" t="s">
        <v>8</v>
      </c>
      <c r="AA98" s="27" t="s">
        <v>8</v>
      </c>
      <c r="AB98" s="27" t="s">
        <v>7</v>
      </c>
      <c r="AC98" s="27" t="s">
        <v>7</v>
      </c>
      <c r="AD98" s="27" t="s">
        <v>8</v>
      </c>
      <c r="AE98" s="27" t="s">
        <v>8</v>
      </c>
      <c r="AF98" s="27" t="s">
        <v>8</v>
      </c>
      <c r="AG98" s="27" t="s">
        <v>5</v>
      </c>
      <c r="AH98" s="27" t="s">
        <v>6</v>
      </c>
      <c r="AI98" s="27" t="s">
        <v>6</v>
      </c>
      <c r="AJ98" s="27" t="s">
        <v>9</v>
      </c>
      <c r="AK98" s="27" t="s">
        <v>8</v>
      </c>
      <c r="AL98" s="27" t="s">
        <v>7</v>
      </c>
      <c r="AM98" s="27" t="s">
        <v>7</v>
      </c>
      <c r="AN98" s="27" t="s">
        <v>7</v>
      </c>
      <c r="AO98" s="27" t="s">
        <v>5</v>
      </c>
      <c r="AP98" s="27" t="s">
        <v>6</v>
      </c>
      <c r="AQ98" s="27" t="s">
        <v>5</v>
      </c>
      <c r="AR98" s="27" t="s">
        <v>8</v>
      </c>
      <c r="AS98" s="27" t="s">
        <v>8</v>
      </c>
      <c r="AT98" s="27" t="s">
        <v>8</v>
      </c>
      <c r="AU98" s="27" t="s">
        <v>9</v>
      </c>
      <c r="AV98" s="27">
        <v>5</v>
      </c>
      <c r="AW98" s="27">
        <v>10</v>
      </c>
      <c r="AX98" s="27">
        <v>3</v>
      </c>
      <c r="AY98" s="27">
        <v>9</v>
      </c>
      <c r="AZ98" s="27">
        <v>2</v>
      </c>
      <c r="BA98" s="27">
        <v>2</v>
      </c>
      <c r="BB98" s="27" t="s">
        <v>415</v>
      </c>
      <c r="BC98" s="27" t="s">
        <v>182</v>
      </c>
      <c r="BD98" s="27" t="s">
        <v>233</v>
      </c>
      <c r="BE98" s="27" t="s">
        <v>680</v>
      </c>
      <c r="BF98" s="27" t="s">
        <v>681</v>
      </c>
      <c r="BG98" s="27" t="s">
        <v>682</v>
      </c>
    </row>
    <row r="99" spans="1:59" ht="15.75" customHeight="1" x14ac:dyDescent="0.2">
      <c r="A99" s="27">
        <v>93</v>
      </c>
      <c r="B99" s="28">
        <v>45744.435861747683</v>
      </c>
      <c r="C99" s="28" t="s">
        <v>794</v>
      </c>
      <c r="D99" s="27" t="s">
        <v>176</v>
      </c>
      <c r="E99" s="27" t="s">
        <v>193</v>
      </c>
      <c r="F99" s="27" t="s">
        <v>200</v>
      </c>
      <c r="G99" s="27" t="s">
        <v>201</v>
      </c>
      <c r="H99" s="27" t="s">
        <v>180</v>
      </c>
      <c r="I99" s="27" t="s">
        <v>181</v>
      </c>
      <c r="J99" s="27" t="s">
        <v>9</v>
      </c>
      <c r="K99" s="27" t="s">
        <v>9</v>
      </c>
      <c r="L99" s="27" t="s">
        <v>9</v>
      </c>
      <c r="M99" s="27" t="s">
        <v>9</v>
      </c>
      <c r="N99" s="27" t="s">
        <v>9</v>
      </c>
      <c r="O99" s="27" t="s">
        <v>9</v>
      </c>
      <c r="P99" s="27" t="s">
        <v>9</v>
      </c>
      <c r="Q99" s="27" t="s">
        <v>9</v>
      </c>
      <c r="R99" s="27" t="s">
        <v>9</v>
      </c>
      <c r="S99" s="27" t="s">
        <v>9</v>
      </c>
      <c r="T99" s="27" t="s">
        <v>9</v>
      </c>
      <c r="U99" s="27" t="s">
        <v>9</v>
      </c>
      <c r="V99" s="27" t="s">
        <v>9</v>
      </c>
      <c r="W99" s="27" t="s">
        <v>9</v>
      </c>
      <c r="X99" s="27" t="s">
        <v>9</v>
      </c>
      <c r="Y99" s="27" t="s">
        <v>9</v>
      </c>
      <c r="Z99" s="27" t="s">
        <v>9</v>
      </c>
      <c r="AA99" s="27" t="s">
        <v>9</v>
      </c>
      <c r="AB99" s="27" t="s">
        <v>9</v>
      </c>
      <c r="AC99" s="27" t="s">
        <v>9</v>
      </c>
      <c r="AD99" s="27" t="s">
        <v>9</v>
      </c>
      <c r="AE99" s="27" t="s">
        <v>9</v>
      </c>
      <c r="AF99" s="27" t="s">
        <v>9</v>
      </c>
      <c r="AG99" s="27" t="s">
        <v>9</v>
      </c>
      <c r="AH99" s="27" t="s">
        <v>9</v>
      </c>
      <c r="AI99" s="27" t="s">
        <v>9</v>
      </c>
      <c r="AJ99" s="27" t="s">
        <v>9</v>
      </c>
      <c r="AK99" s="27" t="s">
        <v>9</v>
      </c>
      <c r="AL99" s="27" t="s">
        <v>9</v>
      </c>
      <c r="AM99" s="27" t="s">
        <v>9</v>
      </c>
      <c r="AN99" s="27" t="s">
        <v>9</v>
      </c>
      <c r="AO99" s="27" t="s">
        <v>8</v>
      </c>
      <c r="AP99" s="27" t="s">
        <v>9</v>
      </c>
      <c r="AQ99" s="27" t="s">
        <v>9</v>
      </c>
      <c r="AR99" s="27" t="s">
        <v>9</v>
      </c>
      <c r="AS99" s="27" t="s">
        <v>9</v>
      </c>
      <c r="AT99" s="27" t="s">
        <v>8</v>
      </c>
      <c r="AU99" s="27" t="s">
        <v>9</v>
      </c>
      <c r="AV99" s="27">
        <v>10</v>
      </c>
      <c r="AW99" s="27">
        <v>10</v>
      </c>
      <c r="AX99" s="27">
        <v>10</v>
      </c>
      <c r="AY99" s="27">
        <v>10</v>
      </c>
      <c r="AZ99" s="27">
        <v>10</v>
      </c>
      <c r="BA99" s="27">
        <v>10</v>
      </c>
      <c r="BB99" s="27" t="s">
        <v>258</v>
      </c>
      <c r="BC99" s="27" t="s">
        <v>182</v>
      </c>
      <c r="BD99" s="27" t="s">
        <v>221</v>
      </c>
      <c r="BE99" s="27" t="s">
        <v>683</v>
      </c>
      <c r="BF99" s="27" t="s">
        <v>684</v>
      </c>
      <c r="BG99" s="27" t="s">
        <v>685</v>
      </c>
    </row>
    <row r="100" spans="1:59" ht="15.75" customHeight="1" x14ac:dyDescent="0.2">
      <c r="A100" s="27">
        <v>94</v>
      </c>
      <c r="B100" s="28">
        <v>45744.445053217598</v>
      </c>
      <c r="C100" s="28" t="s">
        <v>788</v>
      </c>
      <c r="D100" s="27" t="s">
        <v>184</v>
      </c>
      <c r="E100" s="27" t="s">
        <v>193</v>
      </c>
      <c r="F100" s="27" t="s">
        <v>200</v>
      </c>
      <c r="G100" s="27" t="s">
        <v>201</v>
      </c>
      <c r="H100" s="27" t="s">
        <v>180</v>
      </c>
      <c r="I100" s="27" t="s">
        <v>198</v>
      </c>
      <c r="J100" s="27" t="s">
        <v>9</v>
      </c>
      <c r="K100" s="27" t="s">
        <v>7</v>
      </c>
      <c r="L100" s="27" t="s">
        <v>9</v>
      </c>
      <c r="M100" s="27" t="s">
        <v>7</v>
      </c>
      <c r="N100" s="27" t="s">
        <v>7</v>
      </c>
      <c r="O100" s="27" t="s">
        <v>9</v>
      </c>
      <c r="P100" s="27" t="s">
        <v>7</v>
      </c>
      <c r="Q100" s="27" t="s">
        <v>7</v>
      </c>
      <c r="R100" s="27" t="s">
        <v>9</v>
      </c>
      <c r="S100" s="27" t="s">
        <v>7</v>
      </c>
      <c r="T100" s="27" t="s">
        <v>7</v>
      </c>
      <c r="U100" s="27" t="s">
        <v>8</v>
      </c>
      <c r="V100" s="27" t="s">
        <v>7</v>
      </c>
      <c r="W100" s="27" t="s">
        <v>7</v>
      </c>
      <c r="X100" s="27" t="s">
        <v>7</v>
      </c>
      <c r="Y100" s="27" t="s">
        <v>7</v>
      </c>
      <c r="Z100" s="27" t="s">
        <v>7</v>
      </c>
      <c r="AA100" s="27" t="s">
        <v>7</v>
      </c>
      <c r="AB100" s="27" t="s">
        <v>8</v>
      </c>
      <c r="AC100" s="27" t="s">
        <v>8</v>
      </c>
      <c r="AD100" s="27" t="s">
        <v>8</v>
      </c>
      <c r="AE100" s="27" t="s">
        <v>8</v>
      </c>
      <c r="AF100" s="27" t="s">
        <v>8</v>
      </c>
      <c r="AG100" s="27" t="s">
        <v>8</v>
      </c>
      <c r="AH100" s="27" t="s">
        <v>7</v>
      </c>
      <c r="AI100" s="27" t="s">
        <v>7</v>
      </c>
      <c r="AJ100" s="27" t="s">
        <v>9</v>
      </c>
      <c r="AK100" s="27" t="s">
        <v>8</v>
      </c>
      <c r="AL100" s="27" t="s">
        <v>7</v>
      </c>
      <c r="AM100" s="27" t="s">
        <v>7</v>
      </c>
      <c r="AN100" s="27" t="s">
        <v>7</v>
      </c>
      <c r="AO100" s="27" t="s">
        <v>7</v>
      </c>
      <c r="AP100" s="27" t="s">
        <v>9</v>
      </c>
      <c r="AQ100" s="27" t="s">
        <v>7</v>
      </c>
      <c r="AR100" s="27" t="s">
        <v>7</v>
      </c>
      <c r="AS100" s="27" t="s">
        <v>9</v>
      </c>
      <c r="AT100" s="27" t="s">
        <v>6</v>
      </c>
      <c r="AU100" s="27" t="s">
        <v>7</v>
      </c>
      <c r="AV100" s="27">
        <v>5</v>
      </c>
      <c r="AW100" s="27">
        <v>4</v>
      </c>
      <c r="AX100" s="27">
        <v>7</v>
      </c>
      <c r="AY100" s="27">
        <v>10</v>
      </c>
      <c r="AZ100" s="27">
        <v>5</v>
      </c>
      <c r="BA100" s="27">
        <v>5</v>
      </c>
      <c r="BB100" s="27" t="s">
        <v>416</v>
      </c>
      <c r="BC100" s="27" t="s">
        <v>257</v>
      </c>
      <c r="BD100" s="27" t="s">
        <v>183</v>
      </c>
      <c r="BE100" s="27" t="s">
        <v>257</v>
      </c>
      <c r="BF100" s="27" t="s">
        <v>686</v>
      </c>
      <c r="BG100" s="27" t="s">
        <v>687</v>
      </c>
    </row>
    <row r="101" spans="1:59" ht="15.75" customHeight="1" x14ac:dyDescent="0.2">
      <c r="A101" s="27">
        <v>95</v>
      </c>
      <c r="B101" s="28">
        <v>45744.457207777778</v>
      </c>
      <c r="C101" s="28" t="s">
        <v>792</v>
      </c>
      <c r="D101" s="27" t="s">
        <v>176</v>
      </c>
      <c r="E101" s="27" t="s">
        <v>185</v>
      </c>
      <c r="F101" s="27" t="s">
        <v>200</v>
      </c>
      <c r="G101" s="27" t="s">
        <v>179</v>
      </c>
      <c r="H101" s="27" t="s">
        <v>180</v>
      </c>
      <c r="I101" s="27" t="s">
        <v>198</v>
      </c>
      <c r="J101" s="27" t="s">
        <v>9</v>
      </c>
      <c r="K101" s="27" t="s">
        <v>8</v>
      </c>
      <c r="L101" s="27" t="s">
        <v>9</v>
      </c>
      <c r="M101" s="27" t="s">
        <v>7</v>
      </c>
      <c r="N101" s="27" t="s">
        <v>8</v>
      </c>
      <c r="O101" s="27" t="s">
        <v>9</v>
      </c>
      <c r="P101" s="27" t="s">
        <v>7</v>
      </c>
      <c r="Q101" s="27" t="s">
        <v>8</v>
      </c>
      <c r="R101" s="27" t="s">
        <v>8</v>
      </c>
      <c r="S101" s="27" t="s">
        <v>8</v>
      </c>
      <c r="T101" s="27" t="s">
        <v>8</v>
      </c>
      <c r="U101" s="27" t="s">
        <v>8</v>
      </c>
      <c r="V101" s="27" t="s">
        <v>7</v>
      </c>
      <c r="W101" s="27" t="s">
        <v>7</v>
      </c>
      <c r="X101" s="27" t="s">
        <v>7</v>
      </c>
      <c r="Y101" s="27" t="s">
        <v>7</v>
      </c>
      <c r="Z101" s="27" t="s">
        <v>8</v>
      </c>
      <c r="AA101" s="27" t="s">
        <v>8</v>
      </c>
      <c r="AB101" s="27" t="s">
        <v>8</v>
      </c>
      <c r="AC101" s="27" t="s">
        <v>6</v>
      </c>
      <c r="AD101" s="27" t="s">
        <v>8</v>
      </c>
      <c r="AE101" s="27" t="s">
        <v>7</v>
      </c>
      <c r="AF101" s="27" t="s">
        <v>8</v>
      </c>
      <c r="AG101" s="27" t="s">
        <v>6</v>
      </c>
      <c r="AH101" s="27" t="s">
        <v>6</v>
      </c>
      <c r="AI101" s="27" t="s">
        <v>6</v>
      </c>
      <c r="AJ101" s="27" t="s">
        <v>8</v>
      </c>
      <c r="AK101" s="27" t="s">
        <v>7</v>
      </c>
      <c r="AL101" s="27" t="s">
        <v>8</v>
      </c>
      <c r="AM101" s="27" t="s">
        <v>7</v>
      </c>
      <c r="AN101" s="27" t="s">
        <v>6</v>
      </c>
      <c r="AO101" s="27" t="s">
        <v>6</v>
      </c>
      <c r="AP101" s="27" t="s">
        <v>8</v>
      </c>
      <c r="AQ101" s="27" t="s">
        <v>6</v>
      </c>
      <c r="AR101" s="27" t="s">
        <v>8</v>
      </c>
      <c r="AS101" s="27" t="s">
        <v>7</v>
      </c>
      <c r="AT101" s="27" t="s">
        <v>6</v>
      </c>
      <c r="AU101" s="27" t="s">
        <v>7</v>
      </c>
      <c r="AV101" s="27">
        <v>7</v>
      </c>
      <c r="AW101" s="27">
        <v>7</v>
      </c>
      <c r="AX101" s="27">
        <v>7</v>
      </c>
      <c r="AY101" s="27">
        <v>9</v>
      </c>
      <c r="AZ101" s="27">
        <v>7</v>
      </c>
      <c r="BA101" s="27">
        <v>7</v>
      </c>
      <c r="BB101" s="27" t="s">
        <v>206</v>
      </c>
      <c r="BC101" s="27" t="s">
        <v>195</v>
      </c>
      <c r="BD101" s="27" t="s">
        <v>183</v>
      </c>
      <c r="BE101" s="27" t="s">
        <v>688</v>
      </c>
      <c r="BF101" s="27" t="s">
        <v>689</v>
      </c>
      <c r="BG101" s="27" t="s">
        <v>690</v>
      </c>
    </row>
    <row r="102" spans="1:59" ht="15.75" customHeight="1" x14ac:dyDescent="0.2">
      <c r="A102" s="27">
        <v>96</v>
      </c>
      <c r="B102" s="28">
        <v>45744.458133391207</v>
      </c>
      <c r="C102" s="28" t="s">
        <v>792</v>
      </c>
      <c r="D102" s="27" t="s">
        <v>184</v>
      </c>
      <c r="E102" s="27" t="s">
        <v>217</v>
      </c>
      <c r="F102" s="27" t="s">
        <v>200</v>
      </c>
      <c r="G102" s="27" t="s">
        <v>201</v>
      </c>
      <c r="H102" s="27" t="s">
        <v>187</v>
      </c>
      <c r="I102" s="27" t="s">
        <v>194</v>
      </c>
      <c r="J102" s="27" t="s">
        <v>8</v>
      </c>
      <c r="K102" s="27" t="s">
        <v>6</v>
      </c>
      <c r="L102" s="27" t="s">
        <v>9</v>
      </c>
      <c r="M102" s="27" t="s">
        <v>7</v>
      </c>
      <c r="N102" s="27" t="s">
        <v>8</v>
      </c>
      <c r="O102" s="27" t="s">
        <v>8</v>
      </c>
      <c r="P102" s="27" t="s">
        <v>7</v>
      </c>
      <c r="Q102" s="27" t="s">
        <v>8</v>
      </c>
      <c r="R102" s="27" t="s">
        <v>7</v>
      </c>
      <c r="S102" s="27" t="s">
        <v>8</v>
      </c>
      <c r="T102" s="27" t="s">
        <v>7</v>
      </c>
      <c r="U102" s="27" t="s">
        <v>6</v>
      </c>
      <c r="V102" s="27" t="s">
        <v>5</v>
      </c>
      <c r="W102" s="27" t="s">
        <v>8</v>
      </c>
      <c r="X102" s="27" t="s">
        <v>5</v>
      </c>
      <c r="Y102" s="27" t="s">
        <v>5</v>
      </c>
      <c r="Z102" s="27" t="s">
        <v>9</v>
      </c>
      <c r="AA102" s="27" t="s">
        <v>9</v>
      </c>
      <c r="AB102" s="27" t="s">
        <v>5</v>
      </c>
      <c r="AC102" s="27" t="s">
        <v>5</v>
      </c>
      <c r="AD102" s="27" t="s">
        <v>5</v>
      </c>
      <c r="AE102" s="27" t="s">
        <v>5</v>
      </c>
      <c r="AF102" s="27" t="s">
        <v>6</v>
      </c>
      <c r="AG102" s="27" t="s">
        <v>5</v>
      </c>
      <c r="AH102" s="27" t="s">
        <v>5</v>
      </c>
      <c r="AI102" s="27" t="s">
        <v>5</v>
      </c>
      <c r="AJ102" s="27" t="s">
        <v>8</v>
      </c>
      <c r="AK102" s="27" t="s">
        <v>6</v>
      </c>
      <c r="AL102" s="27" t="s">
        <v>9</v>
      </c>
      <c r="AM102" s="27" t="s">
        <v>7</v>
      </c>
      <c r="AN102" s="27" t="s">
        <v>5</v>
      </c>
      <c r="AO102" s="27" t="s">
        <v>5</v>
      </c>
      <c r="AP102" s="27" t="s">
        <v>7</v>
      </c>
      <c r="AQ102" s="27" t="s">
        <v>5</v>
      </c>
      <c r="AR102" s="27" t="s">
        <v>8</v>
      </c>
      <c r="AS102" s="27" t="s">
        <v>6</v>
      </c>
      <c r="AT102" s="27" t="s">
        <v>5</v>
      </c>
      <c r="AU102" s="27" t="s">
        <v>7</v>
      </c>
      <c r="AV102" s="27">
        <v>1</v>
      </c>
      <c r="AW102" s="27">
        <v>7</v>
      </c>
      <c r="AX102" s="27">
        <v>8</v>
      </c>
      <c r="AY102" s="27">
        <v>8</v>
      </c>
      <c r="AZ102" s="27">
        <v>0</v>
      </c>
      <c r="BA102" s="27">
        <v>0</v>
      </c>
      <c r="BB102" s="27" t="s">
        <v>417</v>
      </c>
      <c r="BC102" s="27" t="s">
        <v>195</v>
      </c>
      <c r="BD102" s="27" t="s">
        <v>183</v>
      </c>
      <c r="BE102" s="27" t="s">
        <v>691</v>
      </c>
      <c r="BF102" s="27" t="s">
        <v>692</v>
      </c>
      <c r="BG102" s="27" t="s">
        <v>693</v>
      </c>
    </row>
    <row r="103" spans="1:59" ht="15.75" customHeight="1" x14ac:dyDescent="0.2">
      <c r="A103" s="27">
        <v>97</v>
      </c>
      <c r="B103" s="28">
        <v>45744.466570046294</v>
      </c>
      <c r="C103" s="28" t="s">
        <v>795</v>
      </c>
      <c r="D103" s="27" t="s">
        <v>184</v>
      </c>
      <c r="E103" s="27" t="s">
        <v>193</v>
      </c>
      <c r="F103" s="27" t="s">
        <v>200</v>
      </c>
      <c r="G103" s="27" t="s">
        <v>179</v>
      </c>
      <c r="H103" s="27" t="s">
        <v>187</v>
      </c>
      <c r="I103" s="27" t="s">
        <v>181</v>
      </c>
      <c r="J103" s="27" t="s">
        <v>9</v>
      </c>
      <c r="K103" s="27" t="s">
        <v>9</v>
      </c>
      <c r="L103" s="27" t="s">
        <v>9</v>
      </c>
      <c r="M103" s="27" t="s">
        <v>9</v>
      </c>
      <c r="N103" s="27" t="s">
        <v>9</v>
      </c>
      <c r="O103" s="27" t="s">
        <v>9</v>
      </c>
      <c r="P103" s="27" t="s">
        <v>9</v>
      </c>
      <c r="Q103" s="27" t="s">
        <v>9</v>
      </c>
      <c r="R103" s="27" t="s">
        <v>9</v>
      </c>
      <c r="S103" s="27" t="s">
        <v>9</v>
      </c>
      <c r="T103" s="27" t="s">
        <v>9</v>
      </c>
      <c r="U103" s="27" t="s">
        <v>9</v>
      </c>
      <c r="V103" s="27" t="s">
        <v>9</v>
      </c>
      <c r="W103" s="27" t="s">
        <v>9</v>
      </c>
      <c r="X103" s="27" t="s">
        <v>9</v>
      </c>
      <c r="Y103" s="27" t="s">
        <v>9</v>
      </c>
      <c r="Z103" s="27" t="s">
        <v>9</v>
      </c>
      <c r="AA103" s="27" t="s">
        <v>9</v>
      </c>
      <c r="AB103" s="27" t="s">
        <v>9</v>
      </c>
      <c r="AC103" s="27" t="s">
        <v>9</v>
      </c>
      <c r="AD103" s="27" t="s">
        <v>9</v>
      </c>
      <c r="AE103" s="27" t="s">
        <v>9</v>
      </c>
      <c r="AF103" s="27" t="s">
        <v>9</v>
      </c>
      <c r="AG103" s="27" t="s">
        <v>9</v>
      </c>
      <c r="AH103" s="27" t="s">
        <v>9</v>
      </c>
      <c r="AI103" s="27" t="s">
        <v>9</v>
      </c>
      <c r="AJ103" s="27" t="s">
        <v>9</v>
      </c>
      <c r="AK103" s="27" t="s">
        <v>9</v>
      </c>
      <c r="AL103" s="27" t="s">
        <v>9</v>
      </c>
      <c r="AM103" s="27" t="s">
        <v>9</v>
      </c>
      <c r="AN103" s="27" t="s">
        <v>9</v>
      </c>
      <c r="AO103" s="27" t="s">
        <v>9</v>
      </c>
      <c r="AP103" s="27" t="s">
        <v>9</v>
      </c>
      <c r="AQ103" s="27" t="s">
        <v>9</v>
      </c>
      <c r="AR103" s="27" t="s">
        <v>9</v>
      </c>
      <c r="AS103" s="27" t="s">
        <v>9</v>
      </c>
      <c r="AT103" s="27" t="s">
        <v>9</v>
      </c>
      <c r="AU103" s="27" t="s">
        <v>9</v>
      </c>
      <c r="AV103" s="27">
        <v>9</v>
      </c>
      <c r="AW103" s="27">
        <v>9</v>
      </c>
      <c r="AX103" s="27">
        <v>8</v>
      </c>
      <c r="AY103" s="27">
        <v>9</v>
      </c>
      <c r="AZ103" s="27">
        <v>10</v>
      </c>
      <c r="BA103" s="27">
        <v>10</v>
      </c>
      <c r="BB103" s="27" t="s">
        <v>199</v>
      </c>
      <c r="BC103" s="27" t="s">
        <v>214</v>
      </c>
      <c r="BD103" s="27" t="s">
        <v>191</v>
      </c>
      <c r="BE103" s="27" t="s">
        <v>694</v>
      </c>
      <c r="BF103" s="27" t="s">
        <v>695</v>
      </c>
      <c r="BG103" s="27" t="s">
        <v>696</v>
      </c>
    </row>
    <row r="104" spans="1:59" ht="15.75" customHeight="1" x14ac:dyDescent="0.2">
      <c r="A104" s="27">
        <v>98</v>
      </c>
      <c r="B104" s="28">
        <v>45744.47099725694</v>
      </c>
      <c r="C104" s="28" t="s">
        <v>792</v>
      </c>
      <c r="D104" s="27" t="s">
        <v>260</v>
      </c>
      <c r="E104" s="27" t="s">
        <v>260</v>
      </c>
      <c r="F104" s="27" t="s">
        <v>200</v>
      </c>
      <c r="G104" s="27" t="s">
        <v>179</v>
      </c>
      <c r="H104" s="27" t="s">
        <v>187</v>
      </c>
      <c r="I104" s="27" t="s">
        <v>198</v>
      </c>
      <c r="J104" s="27" t="s">
        <v>9</v>
      </c>
      <c r="K104" s="27" t="s">
        <v>9</v>
      </c>
      <c r="L104" s="27" t="s">
        <v>9</v>
      </c>
      <c r="M104" s="27" t="s">
        <v>9</v>
      </c>
      <c r="N104" s="27" t="s">
        <v>9</v>
      </c>
      <c r="O104" s="27" t="s">
        <v>9</v>
      </c>
      <c r="P104" s="27" t="s">
        <v>7</v>
      </c>
      <c r="Q104" s="27" t="s">
        <v>9</v>
      </c>
      <c r="R104" s="27" t="s">
        <v>7</v>
      </c>
      <c r="S104" s="27" t="s">
        <v>9</v>
      </c>
      <c r="T104" s="27" t="s">
        <v>8</v>
      </c>
      <c r="U104" s="27" t="s">
        <v>7</v>
      </c>
      <c r="V104" s="27" t="s">
        <v>7</v>
      </c>
      <c r="W104" s="27" t="s">
        <v>7</v>
      </c>
      <c r="X104" s="27" t="s">
        <v>6</v>
      </c>
      <c r="Y104" s="27" t="s">
        <v>7</v>
      </c>
      <c r="Z104" s="27" t="s">
        <v>9</v>
      </c>
      <c r="AA104" s="27" t="s">
        <v>9</v>
      </c>
      <c r="AB104" s="27" t="s">
        <v>7</v>
      </c>
      <c r="AC104" s="27" t="s">
        <v>9</v>
      </c>
      <c r="AD104" s="27" t="s">
        <v>9</v>
      </c>
      <c r="AE104" s="27" t="s">
        <v>9</v>
      </c>
      <c r="AF104" s="27" t="s">
        <v>9</v>
      </c>
      <c r="AG104" s="27" t="s">
        <v>8</v>
      </c>
      <c r="AH104" s="27" t="s">
        <v>7</v>
      </c>
      <c r="AI104" s="27" t="s">
        <v>5</v>
      </c>
      <c r="AJ104" s="27" t="s">
        <v>9</v>
      </c>
      <c r="AK104" s="27" t="s">
        <v>7</v>
      </c>
      <c r="AL104" s="27" t="s">
        <v>9</v>
      </c>
      <c r="AM104" s="27" t="s">
        <v>9</v>
      </c>
      <c r="AN104" s="27" t="s">
        <v>7</v>
      </c>
      <c r="AO104" s="27" t="s">
        <v>7</v>
      </c>
      <c r="AP104" s="27" t="s">
        <v>7</v>
      </c>
      <c r="AQ104" s="27" t="s">
        <v>7</v>
      </c>
      <c r="AR104" s="27" t="s">
        <v>9</v>
      </c>
      <c r="AS104" s="27" t="s">
        <v>7</v>
      </c>
      <c r="AT104" s="27" t="s">
        <v>7</v>
      </c>
      <c r="AU104" s="27" t="s">
        <v>9</v>
      </c>
      <c r="AV104" s="27">
        <v>6</v>
      </c>
      <c r="AW104" s="27">
        <v>10</v>
      </c>
      <c r="AX104" s="27">
        <v>10</v>
      </c>
      <c r="AY104" s="27">
        <v>10</v>
      </c>
      <c r="AZ104" s="27">
        <v>3</v>
      </c>
      <c r="BA104" s="27">
        <v>5</v>
      </c>
      <c r="BB104" s="27" t="s">
        <v>418</v>
      </c>
      <c r="BC104" s="27" t="s">
        <v>182</v>
      </c>
      <c r="BD104" s="27" t="s">
        <v>419</v>
      </c>
      <c r="BE104" s="27" t="s">
        <v>697</v>
      </c>
      <c r="BF104" s="27" t="s">
        <v>698</v>
      </c>
      <c r="BG104" s="27" t="s">
        <v>699</v>
      </c>
    </row>
    <row r="105" spans="1:59" ht="15.75" customHeight="1" x14ac:dyDescent="0.2">
      <c r="A105" s="27">
        <v>99</v>
      </c>
      <c r="B105" s="28">
        <v>45744.471730393518</v>
      </c>
      <c r="C105" s="28" t="s">
        <v>791</v>
      </c>
      <c r="D105" s="27" t="s">
        <v>176</v>
      </c>
      <c r="E105" s="27" t="s">
        <v>193</v>
      </c>
      <c r="F105" s="27" t="s">
        <v>186</v>
      </c>
      <c r="G105" s="27" t="s">
        <v>179</v>
      </c>
      <c r="H105" s="27" t="s">
        <v>187</v>
      </c>
      <c r="I105" s="27" t="s">
        <v>194</v>
      </c>
      <c r="J105" s="27" t="s">
        <v>8</v>
      </c>
      <c r="K105" s="27" t="s">
        <v>9</v>
      </c>
      <c r="L105" s="27" t="s">
        <v>9</v>
      </c>
      <c r="M105" s="27" t="s">
        <v>9</v>
      </c>
      <c r="N105" s="27" t="s">
        <v>8</v>
      </c>
      <c r="O105" s="27" t="s">
        <v>9</v>
      </c>
      <c r="P105" s="27" t="s">
        <v>8</v>
      </c>
      <c r="Q105" s="27" t="s">
        <v>8</v>
      </c>
      <c r="R105" s="27" t="s">
        <v>8</v>
      </c>
      <c r="S105" s="27" t="s">
        <v>8</v>
      </c>
      <c r="T105" s="27" t="s">
        <v>8</v>
      </c>
      <c r="U105" s="27" t="s">
        <v>9</v>
      </c>
      <c r="V105" s="27" t="s">
        <v>6</v>
      </c>
      <c r="W105" s="27" t="s">
        <v>7</v>
      </c>
      <c r="X105" s="27" t="s">
        <v>8</v>
      </c>
      <c r="Y105" s="27" t="s">
        <v>8</v>
      </c>
      <c r="Z105" s="27" t="s">
        <v>9</v>
      </c>
      <c r="AA105" s="27" t="s">
        <v>9</v>
      </c>
      <c r="AB105" s="27" t="s">
        <v>8</v>
      </c>
      <c r="AC105" s="27" t="s">
        <v>9</v>
      </c>
      <c r="AD105" s="27" t="s">
        <v>9</v>
      </c>
      <c r="AE105" s="27" t="s">
        <v>9</v>
      </c>
      <c r="AF105" s="27" t="s">
        <v>8</v>
      </c>
      <c r="AG105" s="27" t="s">
        <v>6</v>
      </c>
      <c r="AH105" s="27" t="s">
        <v>7</v>
      </c>
      <c r="AI105" s="27" t="s">
        <v>8</v>
      </c>
      <c r="AJ105" s="27" t="s">
        <v>8</v>
      </c>
      <c r="AK105" s="27" t="s">
        <v>8</v>
      </c>
      <c r="AL105" s="27" t="s">
        <v>8</v>
      </c>
      <c r="AM105" s="27" t="s">
        <v>8</v>
      </c>
      <c r="AN105" s="27" t="s">
        <v>7</v>
      </c>
      <c r="AO105" s="27" t="s">
        <v>7</v>
      </c>
      <c r="AP105" s="27" t="s">
        <v>8</v>
      </c>
      <c r="AQ105" s="27" t="s">
        <v>7</v>
      </c>
      <c r="AR105" s="27" t="s">
        <v>8</v>
      </c>
      <c r="AS105" s="27" t="s">
        <v>8</v>
      </c>
      <c r="AT105" s="27" t="s">
        <v>8</v>
      </c>
      <c r="AU105" s="27" t="s">
        <v>8</v>
      </c>
      <c r="AV105" s="27">
        <v>7</v>
      </c>
      <c r="AW105" s="27">
        <v>9</v>
      </c>
      <c r="AX105" s="27">
        <v>6</v>
      </c>
      <c r="AY105" s="27">
        <v>9</v>
      </c>
      <c r="AZ105" s="27">
        <v>8</v>
      </c>
      <c r="BA105" s="27">
        <v>8</v>
      </c>
      <c r="BB105" s="27" t="s">
        <v>231</v>
      </c>
      <c r="BC105" s="27" t="s">
        <v>183</v>
      </c>
      <c r="BD105" s="27" t="s">
        <v>203</v>
      </c>
      <c r="BE105" s="27" t="s">
        <v>700</v>
      </c>
      <c r="BF105" s="27" t="s">
        <v>701</v>
      </c>
      <c r="BG105" s="27" t="s">
        <v>702</v>
      </c>
    </row>
    <row r="106" spans="1:59" ht="15.75" customHeight="1" x14ac:dyDescent="0.2">
      <c r="A106" s="27">
        <v>100</v>
      </c>
      <c r="B106" s="28">
        <v>45744.48272054398</v>
      </c>
      <c r="C106" s="28" t="s">
        <v>788</v>
      </c>
      <c r="D106" s="27" t="s">
        <v>176</v>
      </c>
      <c r="E106" s="27" t="s">
        <v>177</v>
      </c>
      <c r="F106" s="27" t="s">
        <v>200</v>
      </c>
      <c r="G106" s="27" t="s">
        <v>179</v>
      </c>
      <c r="H106" s="27" t="s">
        <v>187</v>
      </c>
      <c r="I106" s="27" t="s">
        <v>198</v>
      </c>
      <c r="J106" s="27" t="s">
        <v>8</v>
      </c>
      <c r="K106" s="27" t="s">
        <v>8</v>
      </c>
      <c r="L106" s="27" t="s">
        <v>7</v>
      </c>
      <c r="M106" s="27" t="s">
        <v>8</v>
      </c>
      <c r="N106" s="27" t="s">
        <v>8</v>
      </c>
      <c r="O106" s="27" t="s">
        <v>8</v>
      </c>
      <c r="P106" s="27" t="s">
        <v>8</v>
      </c>
      <c r="Q106" s="27" t="s">
        <v>8</v>
      </c>
      <c r="R106" s="27" t="s">
        <v>8</v>
      </c>
      <c r="S106" s="27" t="s">
        <v>8</v>
      </c>
      <c r="T106" s="27" t="s">
        <v>8</v>
      </c>
      <c r="U106" s="27" t="s">
        <v>8</v>
      </c>
      <c r="V106" s="27" t="s">
        <v>6</v>
      </c>
      <c r="W106" s="27" t="s">
        <v>8</v>
      </c>
      <c r="X106" s="27" t="s">
        <v>7</v>
      </c>
      <c r="Y106" s="27" t="s">
        <v>6</v>
      </c>
      <c r="Z106" s="27" t="s">
        <v>8</v>
      </c>
      <c r="AA106" s="27" t="s">
        <v>8</v>
      </c>
      <c r="AB106" s="27" t="s">
        <v>7</v>
      </c>
      <c r="AC106" s="27" t="s">
        <v>8</v>
      </c>
      <c r="AD106" s="27" t="s">
        <v>8</v>
      </c>
      <c r="AE106" s="27" t="s">
        <v>7</v>
      </c>
      <c r="AF106" s="27" t="s">
        <v>8</v>
      </c>
      <c r="AG106" s="27" t="s">
        <v>6</v>
      </c>
      <c r="AH106" s="27" t="s">
        <v>6</v>
      </c>
      <c r="AI106" s="27" t="s">
        <v>6</v>
      </c>
      <c r="AJ106" s="27" t="s">
        <v>8</v>
      </c>
      <c r="AK106" s="27" t="s">
        <v>8</v>
      </c>
      <c r="AL106" s="27" t="s">
        <v>7</v>
      </c>
      <c r="AM106" s="27" t="s">
        <v>8</v>
      </c>
      <c r="AN106" s="27" t="s">
        <v>7</v>
      </c>
      <c r="AO106" s="27" t="s">
        <v>7</v>
      </c>
      <c r="AP106" s="27" t="s">
        <v>8</v>
      </c>
      <c r="AQ106" s="27" t="s">
        <v>7</v>
      </c>
      <c r="AR106" s="27" t="s">
        <v>8</v>
      </c>
      <c r="AS106" s="27" t="s">
        <v>8</v>
      </c>
      <c r="AT106" s="27" t="s">
        <v>8</v>
      </c>
      <c r="AU106" s="27" t="s">
        <v>8</v>
      </c>
      <c r="AV106" s="27">
        <v>7</v>
      </c>
      <c r="AW106" s="27">
        <v>9</v>
      </c>
      <c r="AX106" s="27">
        <v>9</v>
      </c>
      <c r="AY106" s="27">
        <v>9</v>
      </c>
      <c r="AZ106" s="27">
        <v>6</v>
      </c>
      <c r="BA106" s="27">
        <v>8</v>
      </c>
      <c r="BB106" s="27" t="s">
        <v>219</v>
      </c>
      <c r="BC106" s="27" t="s">
        <v>214</v>
      </c>
      <c r="BD106" s="27" t="s">
        <v>233</v>
      </c>
      <c r="BE106" s="27" t="s">
        <v>703</v>
      </c>
      <c r="BF106" s="27" t="s">
        <v>704</v>
      </c>
      <c r="BG106" s="27" t="s">
        <v>705</v>
      </c>
    </row>
    <row r="107" spans="1:59" ht="15.75" customHeight="1" x14ac:dyDescent="0.2">
      <c r="A107" s="27">
        <v>101</v>
      </c>
      <c r="B107" s="28">
        <v>45744.486588680556</v>
      </c>
      <c r="C107" s="28" t="s">
        <v>792</v>
      </c>
      <c r="D107" s="27" t="s">
        <v>246</v>
      </c>
      <c r="E107" s="27" t="s">
        <v>236</v>
      </c>
      <c r="F107" s="27" t="s">
        <v>200</v>
      </c>
      <c r="G107" s="27" t="s">
        <v>201</v>
      </c>
      <c r="H107" s="27" t="s">
        <v>180</v>
      </c>
      <c r="I107" s="27" t="s">
        <v>208</v>
      </c>
      <c r="J107" s="27" t="s">
        <v>9</v>
      </c>
      <c r="K107" s="27" t="s">
        <v>8</v>
      </c>
      <c r="L107" s="27" t="s">
        <v>9</v>
      </c>
      <c r="M107" s="27" t="s">
        <v>8</v>
      </c>
      <c r="N107" s="27" t="s">
        <v>9</v>
      </c>
      <c r="O107" s="27" t="s">
        <v>9</v>
      </c>
      <c r="P107" s="27" t="s">
        <v>8</v>
      </c>
      <c r="Q107" s="27" t="s">
        <v>8</v>
      </c>
      <c r="R107" s="27" t="s">
        <v>8</v>
      </c>
      <c r="S107" s="27" t="s">
        <v>9</v>
      </c>
      <c r="T107" s="27" t="s">
        <v>8</v>
      </c>
      <c r="U107" s="27" t="s">
        <v>8</v>
      </c>
      <c r="V107" s="27" t="s">
        <v>7</v>
      </c>
      <c r="W107" s="27" t="s">
        <v>5</v>
      </c>
      <c r="X107" s="27" t="s">
        <v>9</v>
      </c>
      <c r="Y107" s="27" t="s">
        <v>5</v>
      </c>
      <c r="Z107" s="27" t="s">
        <v>8</v>
      </c>
      <c r="AA107" s="27" t="s">
        <v>8</v>
      </c>
      <c r="AB107" s="27" t="s">
        <v>8</v>
      </c>
      <c r="AC107" s="27" t="s">
        <v>8</v>
      </c>
      <c r="AD107" s="27" t="s">
        <v>9</v>
      </c>
      <c r="AE107" s="27" t="s">
        <v>9</v>
      </c>
      <c r="AF107" s="27" t="s">
        <v>9</v>
      </c>
      <c r="AG107" s="27" t="s">
        <v>9</v>
      </c>
      <c r="AH107" s="27" t="s">
        <v>9</v>
      </c>
      <c r="AI107" s="27" t="s">
        <v>8</v>
      </c>
      <c r="AJ107" s="27" t="s">
        <v>9</v>
      </c>
      <c r="AK107" s="27" t="s">
        <v>9</v>
      </c>
      <c r="AL107" s="27" t="s">
        <v>9</v>
      </c>
      <c r="AM107" s="27" t="s">
        <v>8</v>
      </c>
      <c r="AN107" s="27" t="s">
        <v>8</v>
      </c>
      <c r="AO107" s="27" t="s">
        <v>8</v>
      </c>
      <c r="AP107" s="27" t="s">
        <v>8</v>
      </c>
      <c r="AQ107" s="27" t="s">
        <v>8</v>
      </c>
      <c r="AR107" s="27" t="s">
        <v>7</v>
      </c>
      <c r="AS107" s="27" t="s">
        <v>8</v>
      </c>
      <c r="AT107" s="27" t="s">
        <v>8</v>
      </c>
      <c r="AU107" s="27" t="s">
        <v>8</v>
      </c>
      <c r="AV107" s="27">
        <v>9</v>
      </c>
      <c r="AW107" s="27">
        <v>9</v>
      </c>
      <c r="AX107" s="27">
        <v>9</v>
      </c>
      <c r="AY107" s="27">
        <v>9</v>
      </c>
      <c r="AZ107" s="27">
        <v>9</v>
      </c>
      <c r="BA107" s="27">
        <v>9</v>
      </c>
      <c r="BB107" s="27" t="s">
        <v>232</v>
      </c>
      <c r="BC107" s="27" t="s">
        <v>183</v>
      </c>
      <c r="BD107" s="27" t="s">
        <v>235</v>
      </c>
      <c r="BE107" s="27" t="s">
        <v>706</v>
      </c>
      <c r="BF107" s="27" t="s">
        <v>707</v>
      </c>
      <c r="BG107" s="27" t="s">
        <v>708</v>
      </c>
    </row>
    <row r="108" spans="1:59" ht="15.75" customHeight="1" x14ac:dyDescent="0.2">
      <c r="A108" s="27">
        <v>102</v>
      </c>
      <c r="B108" s="28">
        <v>45744.487961006947</v>
      </c>
      <c r="C108" s="28" t="s">
        <v>788</v>
      </c>
      <c r="D108" s="27" t="s">
        <v>246</v>
      </c>
      <c r="E108" s="27" t="s">
        <v>217</v>
      </c>
      <c r="F108" s="27" t="s">
        <v>200</v>
      </c>
      <c r="G108" s="27" t="s">
        <v>201</v>
      </c>
      <c r="H108" s="27" t="s">
        <v>223</v>
      </c>
      <c r="I108" s="27" t="s">
        <v>198</v>
      </c>
      <c r="J108" s="27" t="s">
        <v>8</v>
      </c>
      <c r="K108" s="27" t="s">
        <v>8</v>
      </c>
      <c r="L108" s="27" t="s">
        <v>8</v>
      </c>
      <c r="M108" s="27" t="s">
        <v>8</v>
      </c>
      <c r="N108" s="27" t="s">
        <v>8</v>
      </c>
      <c r="O108" s="27" t="s">
        <v>8</v>
      </c>
      <c r="P108" s="27" t="s">
        <v>8</v>
      </c>
      <c r="Q108" s="27" t="s">
        <v>8</v>
      </c>
      <c r="R108" s="27" t="s">
        <v>8</v>
      </c>
      <c r="S108" s="27" t="s">
        <v>8</v>
      </c>
      <c r="T108" s="27" t="s">
        <v>8</v>
      </c>
      <c r="U108" s="27" t="s">
        <v>8</v>
      </c>
      <c r="V108" s="27" t="s">
        <v>8</v>
      </c>
      <c r="W108" s="27" t="s">
        <v>8</v>
      </c>
      <c r="X108" s="27" t="s">
        <v>8</v>
      </c>
      <c r="Y108" s="27" t="s">
        <v>8</v>
      </c>
      <c r="Z108" s="27" t="s">
        <v>8</v>
      </c>
      <c r="AA108" s="27" t="s">
        <v>8</v>
      </c>
      <c r="AB108" s="27" t="s">
        <v>8</v>
      </c>
      <c r="AC108" s="27" t="s">
        <v>8</v>
      </c>
      <c r="AD108" s="27" t="s">
        <v>8</v>
      </c>
      <c r="AE108" s="27" t="s">
        <v>8</v>
      </c>
      <c r="AF108" s="27" t="s">
        <v>8</v>
      </c>
      <c r="AG108" s="27" t="s">
        <v>8</v>
      </c>
      <c r="AH108" s="27" t="s">
        <v>8</v>
      </c>
      <c r="AI108" s="27" t="s">
        <v>8</v>
      </c>
      <c r="AJ108" s="27" t="s">
        <v>8</v>
      </c>
      <c r="AK108" s="27" t="s">
        <v>8</v>
      </c>
      <c r="AL108" s="27" t="s">
        <v>8</v>
      </c>
      <c r="AM108" s="27" t="s">
        <v>8</v>
      </c>
      <c r="AN108" s="27" t="s">
        <v>8</v>
      </c>
      <c r="AO108" s="27" t="s">
        <v>7</v>
      </c>
      <c r="AP108" s="27" t="s">
        <v>8</v>
      </c>
      <c r="AQ108" s="27" t="s">
        <v>8</v>
      </c>
      <c r="AR108" s="27" t="s">
        <v>9</v>
      </c>
      <c r="AS108" s="27" t="s">
        <v>8</v>
      </c>
      <c r="AT108" s="27" t="s">
        <v>8</v>
      </c>
      <c r="AU108" s="27" t="s">
        <v>9</v>
      </c>
      <c r="AV108" s="27">
        <v>9</v>
      </c>
      <c r="AW108" s="27">
        <v>9</v>
      </c>
      <c r="AX108" s="27">
        <v>9</v>
      </c>
      <c r="AY108" s="27">
        <v>9</v>
      </c>
      <c r="AZ108" s="27">
        <v>9</v>
      </c>
      <c r="BA108" s="27">
        <v>9</v>
      </c>
      <c r="BB108" s="27" t="s">
        <v>420</v>
      </c>
      <c r="BC108" s="27" t="s">
        <v>225</v>
      </c>
      <c r="BD108" s="27" t="s">
        <v>233</v>
      </c>
      <c r="BE108" s="27" t="s">
        <v>709</v>
      </c>
      <c r="BF108" s="27" t="s">
        <v>266</v>
      </c>
      <c r="BG108" s="27" t="s">
        <v>710</v>
      </c>
    </row>
    <row r="109" spans="1:59" ht="15.75" customHeight="1" x14ac:dyDescent="0.2">
      <c r="A109" s="27">
        <v>103</v>
      </c>
      <c r="B109" s="28">
        <v>45744.492971701387</v>
      </c>
      <c r="C109" s="28" t="s">
        <v>792</v>
      </c>
      <c r="D109" s="27" t="s">
        <v>246</v>
      </c>
      <c r="E109" s="27" t="s">
        <v>177</v>
      </c>
      <c r="F109" s="27" t="s">
        <v>200</v>
      </c>
      <c r="G109" s="27" t="s">
        <v>201</v>
      </c>
      <c r="H109" s="27" t="s">
        <v>187</v>
      </c>
      <c r="I109" s="27" t="s">
        <v>198</v>
      </c>
      <c r="J109" s="27" t="s">
        <v>9</v>
      </c>
      <c r="K109" s="27" t="s">
        <v>9</v>
      </c>
      <c r="L109" s="27" t="s">
        <v>9</v>
      </c>
      <c r="M109" s="27" t="s">
        <v>9</v>
      </c>
      <c r="N109" s="27" t="s">
        <v>9</v>
      </c>
      <c r="O109" s="27" t="s">
        <v>9</v>
      </c>
      <c r="P109" s="27" t="s">
        <v>9</v>
      </c>
      <c r="Q109" s="27" t="s">
        <v>9</v>
      </c>
      <c r="R109" s="27" t="s">
        <v>9</v>
      </c>
      <c r="S109" s="27" t="s">
        <v>9</v>
      </c>
      <c r="T109" s="27" t="s">
        <v>9</v>
      </c>
      <c r="U109" s="27" t="s">
        <v>7</v>
      </c>
      <c r="V109" s="27" t="s">
        <v>7</v>
      </c>
      <c r="W109" s="27" t="s">
        <v>9</v>
      </c>
      <c r="X109" s="27" t="s">
        <v>5</v>
      </c>
      <c r="Y109" s="27" t="s">
        <v>5</v>
      </c>
      <c r="Z109" s="27" t="s">
        <v>9</v>
      </c>
      <c r="AA109" s="27" t="s">
        <v>9</v>
      </c>
      <c r="AB109" s="27" t="s">
        <v>7</v>
      </c>
      <c r="AC109" s="27" t="s">
        <v>9</v>
      </c>
      <c r="AD109" s="27" t="s">
        <v>9</v>
      </c>
      <c r="AE109" s="27" t="s">
        <v>9</v>
      </c>
      <c r="AF109" s="27" t="s">
        <v>9</v>
      </c>
      <c r="AG109" s="27" t="s">
        <v>9</v>
      </c>
      <c r="AH109" s="27" t="s">
        <v>9</v>
      </c>
      <c r="AI109" s="27" t="s">
        <v>9</v>
      </c>
      <c r="AJ109" s="27" t="s">
        <v>9</v>
      </c>
      <c r="AK109" s="27" t="s">
        <v>9</v>
      </c>
      <c r="AL109" s="27" t="s">
        <v>8</v>
      </c>
      <c r="AM109" s="27" t="s">
        <v>9</v>
      </c>
      <c r="AN109" s="27" t="s">
        <v>9</v>
      </c>
      <c r="AO109" s="27" t="s">
        <v>9</v>
      </c>
      <c r="AP109" s="27" t="s">
        <v>9</v>
      </c>
      <c r="AQ109" s="27" t="s">
        <v>8</v>
      </c>
      <c r="AR109" s="27" t="s">
        <v>9</v>
      </c>
      <c r="AS109" s="27" t="s">
        <v>9</v>
      </c>
      <c r="AT109" s="27" t="s">
        <v>9</v>
      </c>
      <c r="AU109" s="27" t="s">
        <v>9</v>
      </c>
      <c r="AV109" s="27">
        <v>10</v>
      </c>
      <c r="AW109" s="27">
        <v>10</v>
      </c>
      <c r="AX109" s="27">
        <v>10</v>
      </c>
      <c r="AY109" s="27">
        <v>10</v>
      </c>
      <c r="AZ109" s="27">
        <v>10</v>
      </c>
      <c r="BA109" s="27">
        <v>10</v>
      </c>
      <c r="BB109" s="27" t="s">
        <v>421</v>
      </c>
      <c r="BC109" s="27" t="s">
        <v>422</v>
      </c>
      <c r="BD109" s="27" t="s">
        <v>221</v>
      </c>
      <c r="BE109" s="27" t="s">
        <v>711</v>
      </c>
      <c r="BF109" s="27" t="s">
        <v>712</v>
      </c>
      <c r="BG109" s="27" t="s">
        <v>713</v>
      </c>
    </row>
    <row r="110" spans="1:59" ht="15.75" customHeight="1" x14ac:dyDescent="0.2">
      <c r="A110" s="27">
        <v>104</v>
      </c>
      <c r="B110" s="28">
        <v>45744.494571215277</v>
      </c>
      <c r="C110" s="28" t="s">
        <v>790</v>
      </c>
      <c r="D110" s="27" t="s">
        <v>212</v>
      </c>
      <c r="E110" s="27" t="s">
        <v>217</v>
      </c>
      <c r="F110" s="27" t="s">
        <v>205</v>
      </c>
      <c r="G110" s="27" t="s">
        <v>201</v>
      </c>
      <c r="H110" s="27" t="s">
        <v>223</v>
      </c>
      <c r="I110" s="27" t="s">
        <v>198</v>
      </c>
      <c r="J110" s="27" t="s">
        <v>8</v>
      </c>
      <c r="K110" s="27" t="s">
        <v>8</v>
      </c>
      <c r="L110" s="27" t="s">
        <v>9</v>
      </c>
      <c r="M110" s="27" t="s">
        <v>8</v>
      </c>
      <c r="N110" s="27" t="s">
        <v>9</v>
      </c>
      <c r="O110" s="27" t="s">
        <v>9</v>
      </c>
      <c r="P110" s="27" t="s">
        <v>8</v>
      </c>
      <c r="Q110" s="27" t="s">
        <v>8</v>
      </c>
      <c r="R110" s="27" t="s">
        <v>9</v>
      </c>
      <c r="S110" s="27" t="s">
        <v>9</v>
      </c>
      <c r="T110" s="27" t="s">
        <v>8</v>
      </c>
      <c r="U110" s="27" t="s">
        <v>8</v>
      </c>
      <c r="V110" s="27" t="s">
        <v>6</v>
      </c>
      <c r="W110" s="27" t="s">
        <v>8</v>
      </c>
      <c r="X110" s="27" t="s">
        <v>9</v>
      </c>
      <c r="Y110" s="27" t="s">
        <v>9</v>
      </c>
      <c r="Z110" s="27" t="s">
        <v>9</v>
      </c>
      <c r="AA110" s="27" t="s">
        <v>9</v>
      </c>
      <c r="AB110" s="27" t="s">
        <v>8</v>
      </c>
      <c r="AC110" s="27" t="s">
        <v>8</v>
      </c>
      <c r="AD110" s="27" t="s">
        <v>8</v>
      </c>
      <c r="AE110" s="27" t="s">
        <v>9</v>
      </c>
      <c r="AF110" s="27" t="s">
        <v>8</v>
      </c>
      <c r="AG110" s="27" t="s">
        <v>6</v>
      </c>
      <c r="AH110" s="27" t="s">
        <v>6</v>
      </c>
      <c r="AI110" s="27" t="s">
        <v>6</v>
      </c>
      <c r="AJ110" s="27" t="s">
        <v>8</v>
      </c>
      <c r="AK110" s="27" t="s">
        <v>8</v>
      </c>
      <c r="AL110" s="27" t="s">
        <v>9</v>
      </c>
      <c r="AM110" s="27" t="s">
        <v>9</v>
      </c>
      <c r="AN110" s="27" t="s">
        <v>8</v>
      </c>
      <c r="AO110" s="27" t="s">
        <v>7</v>
      </c>
      <c r="AP110" s="27" t="s">
        <v>9</v>
      </c>
      <c r="AQ110" s="27" t="s">
        <v>6</v>
      </c>
      <c r="AR110" s="27" t="s">
        <v>9</v>
      </c>
      <c r="AS110" s="27" t="s">
        <v>9</v>
      </c>
      <c r="AT110" s="27" t="s">
        <v>8</v>
      </c>
      <c r="AU110" s="27" t="s">
        <v>8</v>
      </c>
      <c r="AV110" s="27">
        <v>10</v>
      </c>
      <c r="AW110" s="27">
        <v>10</v>
      </c>
      <c r="AX110" s="27">
        <v>10</v>
      </c>
      <c r="AY110" s="27">
        <v>10</v>
      </c>
      <c r="AZ110" s="27">
        <v>10</v>
      </c>
      <c r="BA110" s="27">
        <v>8</v>
      </c>
      <c r="BB110" s="27" t="s">
        <v>423</v>
      </c>
      <c r="BC110" s="27" t="s">
        <v>182</v>
      </c>
      <c r="BD110" s="27" t="s">
        <v>424</v>
      </c>
      <c r="BE110" s="27" t="s">
        <v>714</v>
      </c>
      <c r="BF110" s="27" t="s">
        <v>715</v>
      </c>
      <c r="BG110" s="27" t="s">
        <v>716</v>
      </c>
    </row>
    <row r="111" spans="1:59" ht="15.75" customHeight="1" x14ac:dyDescent="0.2">
      <c r="A111" s="27">
        <v>105</v>
      </c>
      <c r="B111" s="28">
        <v>45744.50303118056</v>
      </c>
      <c r="C111" s="28" t="s">
        <v>790</v>
      </c>
      <c r="D111" s="27" t="s">
        <v>176</v>
      </c>
      <c r="E111" s="27" t="s">
        <v>193</v>
      </c>
      <c r="F111" s="27" t="s">
        <v>178</v>
      </c>
      <c r="G111" s="27" t="s">
        <v>201</v>
      </c>
      <c r="H111" s="27" t="s">
        <v>187</v>
      </c>
      <c r="I111" s="27" t="s">
        <v>194</v>
      </c>
      <c r="J111" s="27" t="s">
        <v>9</v>
      </c>
      <c r="K111" s="27" t="s">
        <v>9</v>
      </c>
      <c r="L111" s="27" t="s">
        <v>9</v>
      </c>
      <c r="M111" s="27" t="s">
        <v>9</v>
      </c>
      <c r="N111" s="27" t="s">
        <v>8</v>
      </c>
      <c r="O111" s="27" t="s">
        <v>8</v>
      </c>
      <c r="P111" s="27" t="s">
        <v>8</v>
      </c>
      <c r="Q111" s="27" t="s">
        <v>8</v>
      </c>
      <c r="R111" s="27" t="s">
        <v>8</v>
      </c>
      <c r="S111" s="27" t="s">
        <v>8</v>
      </c>
      <c r="T111" s="27" t="s">
        <v>9</v>
      </c>
      <c r="U111" s="27" t="s">
        <v>9</v>
      </c>
      <c r="V111" s="27" t="s">
        <v>8</v>
      </c>
      <c r="W111" s="27" t="s">
        <v>9</v>
      </c>
      <c r="X111" s="27" t="s">
        <v>8</v>
      </c>
      <c r="Y111" s="27" t="s">
        <v>8</v>
      </c>
      <c r="Z111" s="27" t="s">
        <v>9</v>
      </c>
      <c r="AA111" s="27" t="s">
        <v>9</v>
      </c>
      <c r="AB111" s="27" t="s">
        <v>9</v>
      </c>
      <c r="AC111" s="27" t="s">
        <v>9</v>
      </c>
      <c r="AD111" s="27" t="s">
        <v>8</v>
      </c>
      <c r="AE111" s="27" t="s">
        <v>9</v>
      </c>
      <c r="AF111" s="27" t="s">
        <v>9</v>
      </c>
      <c r="AG111" s="27" t="s">
        <v>9</v>
      </c>
      <c r="AH111" s="27" t="s">
        <v>9</v>
      </c>
      <c r="AI111" s="27" t="s">
        <v>8</v>
      </c>
      <c r="AJ111" s="27" t="s">
        <v>9</v>
      </c>
      <c r="AK111" s="27" t="s">
        <v>9</v>
      </c>
      <c r="AL111" s="27" t="s">
        <v>8</v>
      </c>
      <c r="AM111" s="27" t="s">
        <v>8</v>
      </c>
      <c r="AN111" s="27" t="s">
        <v>9</v>
      </c>
      <c r="AO111" s="27" t="s">
        <v>9</v>
      </c>
      <c r="AP111" s="27" t="s">
        <v>9</v>
      </c>
      <c r="AQ111" s="27" t="s">
        <v>9</v>
      </c>
      <c r="AR111" s="27" t="s">
        <v>9</v>
      </c>
      <c r="AS111" s="27" t="s">
        <v>9</v>
      </c>
      <c r="AT111" s="27" t="s">
        <v>8</v>
      </c>
      <c r="AU111" s="27" t="s">
        <v>8</v>
      </c>
      <c r="AV111" s="27">
        <v>9</v>
      </c>
      <c r="AW111" s="27">
        <v>8</v>
      </c>
      <c r="AX111" s="27">
        <v>8</v>
      </c>
      <c r="AY111" s="27">
        <v>9</v>
      </c>
      <c r="AZ111" s="27">
        <v>8</v>
      </c>
      <c r="BA111" s="27">
        <v>10</v>
      </c>
      <c r="BB111" s="27" t="s">
        <v>232</v>
      </c>
      <c r="BC111" s="27" t="s">
        <v>214</v>
      </c>
      <c r="BD111" s="27" t="s">
        <v>221</v>
      </c>
      <c r="BE111" s="27" t="s">
        <v>717</v>
      </c>
      <c r="BF111" s="27" t="s">
        <v>718</v>
      </c>
      <c r="BG111" s="27" t="s">
        <v>719</v>
      </c>
    </row>
    <row r="112" spans="1:59" ht="15.75" customHeight="1" x14ac:dyDescent="0.2">
      <c r="A112" s="27">
        <v>106</v>
      </c>
      <c r="B112" s="28">
        <v>45744.509179236113</v>
      </c>
      <c r="C112" s="28" t="s">
        <v>792</v>
      </c>
      <c r="D112" s="27" t="s">
        <v>184</v>
      </c>
      <c r="E112" s="27" t="s">
        <v>218</v>
      </c>
      <c r="F112" s="27" t="s">
        <v>200</v>
      </c>
      <c r="G112" s="27" t="s">
        <v>201</v>
      </c>
      <c r="H112" s="27" t="s">
        <v>180</v>
      </c>
      <c r="I112" s="27" t="s">
        <v>188</v>
      </c>
      <c r="J112" s="27" t="s">
        <v>9</v>
      </c>
      <c r="K112" s="27" t="s">
        <v>8</v>
      </c>
      <c r="L112" s="27" t="s">
        <v>9</v>
      </c>
      <c r="M112" s="27" t="s">
        <v>9</v>
      </c>
      <c r="N112" s="27" t="s">
        <v>9</v>
      </c>
      <c r="O112" s="27" t="s">
        <v>9</v>
      </c>
      <c r="P112" s="27" t="s">
        <v>7</v>
      </c>
      <c r="Q112" s="27" t="s">
        <v>8</v>
      </c>
      <c r="R112" s="27" t="s">
        <v>8</v>
      </c>
      <c r="S112" s="27" t="s">
        <v>8</v>
      </c>
      <c r="T112" s="27" t="s">
        <v>9</v>
      </c>
      <c r="U112" s="27" t="s">
        <v>8</v>
      </c>
      <c r="V112" s="27" t="s">
        <v>6</v>
      </c>
      <c r="W112" s="27" t="s">
        <v>6</v>
      </c>
      <c r="X112" s="27" t="s">
        <v>7</v>
      </c>
      <c r="Y112" s="27" t="s">
        <v>7</v>
      </c>
      <c r="Z112" s="27" t="s">
        <v>9</v>
      </c>
      <c r="AA112" s="27" t="s">
        <v>8</v>
      </c>
      <c r="AB112" s="27" t="s">
        <v>7</v>
      </c>
      <c r="AC112" s="27" t="s">
        <v>8</v>
      </c>
      <c r="AD112" s="27" t="s">
        <v>8</v>
      </c>
      <c r="AE112" s="27" t="s">
        <v>8</v>
      </c>
      <c r="AF112" s="27" t="s">
        <v>9</v>
      </c>
      <c r="AG112" s="27" t="s">
        <v>6</v>
      </c>
      <c r="AH112" s="27" t="s">
        <v>6</v>
      </c>
      <c r="AI112" s="27" t="s">
        <v>6</v>
      </c>
      <c r="AJ112" s="27" t="s">
        <v>9</v>
      </c>
      <c r="AK112" s="27" t="s">
        <v>7</v>
      </c>
      <c r="AL112" s="27" t="s">
        <v>7</v>
      </c>
      <c r="AM112" s="27" t="s">
        <v>8</v>
      </c>
      <c r="AN112" s="27" t="s">
        <v>6</v>
      </c>
      <c r="AO112" s="27" t="s">
        <v>6</v>
      </c>
      <c r="AP112" s="27" t="s">
        <v>9</v>
      </c>
      <c r="AQ112" s="27" t="s">
        <v>5</v>
      </c>
      <c r="AR112" s="27" t="s">
        <v>9</v>
      </c>
      <c r="AS112" s="27" t="s">
        <v>7</v>
      </c>
      <c r="AT112" s="27" t="s">
        <v>8</v>
      </c>
      <c r="AU112" s="27" t="s">
        <v>8</v>
      </c>
      <c r="AV112" s="27">
        <v>7</v>
      </c>
      <c r="AW112" s="27">
        <v>10</v>
      </c>
      <c r="AX112" s="27">
        <v>8</v>
      </c>
      <c r="AY112" s="27">
        <v>10</v>
      </c>
      <c r="AZ112" s="27">
        <v>7</v>
      </c>
      <c r="BA112" s="27">
        <v>7</v>
      </c>
      <c r="BB112" s="27" t="s">
        <v>425</v>
      </c>
      <c r="BC112" s="27" t="s">
        <v>426</v>
      </c>
      <c r="BD112" s="27" t="s">
        <v>427</v>
      </c>
      <c r="BE112" s="27" t="s">
        <v>720</v>
      </c>
      <c r="BF112" s="27" t="s">
        <v>721</v>
      </c>
      <c r="BG112" s="27" t="s">
        <v>722</v>
      </c>
    </row>
    <row r="113" spans="1:59" ht="15.75" customHeight="1" x14ac:dyDescent="0.2">
      <c r="A113" s="27">
        <v>107</v>
      </c>
      <c r="B113" s="28">
        <v>45744.511940405093</v>
      </c>
      <c r="C113" s="28" t="s">
        <v>788</v>
      </c>
      <c r="D113" s="27" t="s">
        <v>184</v>
      </c>
      <c r="E113" s="27" t="s">
        <v>218</v>
      </c>
      <c r="F113" s="27" t="s">
        <v>186</v>
      </c>
      <c r="G113" s="27" t="s">
        <v>201</v>
      </c>
      <c r="H113" s="27" t="s">
        <v>187</v>
      </c>
      <c r="I113" s="27" t="s">
        <v>198</v>
      </c>
      <c r="J113" s="27" t="s">
        <v>9</v>
      </c>
      <c r="K113" s="27" t="s">
        <v>8</v>
      </c>
      <c r="L113" s="27" t="s">
        <v>9</v>
      </c>
      <c r="M113" s="27" t="s">
        <v>9</v>
      </c>
      <c r="N113" s="27" t="s">
        <v>9</v>
      </c>
      <c r="O113" s="27" t="s">
        <v>9</v>
      </c>
      <c r="P113" s="27" t="s">
        <v>9</v>
      </c>
      <c r="Q113" s="27" t="s">
        <v>9</v>
      </c>
      <c r="R113" s="27" t="s">
        <v>9</v>
      </c>
      <c r="S113" s="27" t="s">
        <v>9</v>
      </c>
      <c r="T113" s="27" t="s">
        <v>9</v>
      </c>
      <c r="U113" s="27" t="s">
        <v>8</v>
      </c>
      <c r="V113" s="27" t="s">
        <v>9</v>
      </c>
      <c r="W113" s="27" t="s">
        <v>9</v>
      </c>
      <c r="X113" s="27" t="s">
        <v>9</v>
      </c>
      <c r="Y113" s="27" t="s">
        <v>9</v>
      </c>
      <c r="Z113" s="27" t="s">
        <v>9</v>
      </c>
      <c r="AA113" s="27" t="s">
        <v>9</v>
      </c>
      <c r="AB113" s="27" t="s">
        <v>9</v>
      </c>
      <c r="AC113" s="27" t="s">
        <v>9</v>
      </c>
      <c r="AD113" s="27" t="s">
        <v>9</v>
      </c>
      <c r="AE113" s="27" t="s">
        <v>9</v>
      </c>
      <c r="AF113" s="27" t="s">
        <v>8</v>
      </c>
      <c r="AG113" s="27" t="s">
        <v>8</v>
      </c>
      <c r="AH113" s="27" t="s">
        <v>7</v>
      </c>
      <c r="AI113" s="27" t="s">
        <v>7</v>
      </c>
      <c r="AJ113" s="27" t="s">
        <v>8</v>
      </c>
      <c r="AK113" s="27" t="s">
        <v>8</v>
      </c>
      <c r="AL113" s="27" t="s">
        <v>9</v>
      </c>
      <c r="AM113" s="27" t="s">
        <v>9</v>
      </c>
      <c r="AN113" s="27" t="s">
        <v>8</v>
      </c>
      <c r="AO113" s="27" t="s">
        <v>7</v>
      </c>
      <c r="AP113" s="27" t="s">
        <v>8</v>
      </c>
      <c r="AQ113" s="27" t="s">
        <v>8</v>
      </c>
      <c r="AR113" s="27" t="s">
        <v>9</v>
      </c>
      <c r="AS113" s="27" t="s">
        <v>9</v>
      </c>
      <c r="AT113" s="27" t="s">
        <v>8</v>
      </c>
      <c r="AU113" s="27" t="s">
        <v>9</v>
      </c>
      <c r="AV113" s="27">
        <v>10</v>
      </c>
      <c r="AW113" s="27">
        <v>10</v>
      </c>
      <c r="AX113" s="27">
        <v>10</v>
      </c>
      <c r="AY113" s="27">
        <v>10</v>
      </c>
      <c r="AZ113" s="27">
        <v>10</v>
      </c>
      <c r="BA113" s="27">
        <v>10</v>
      </c>
      <c r="BB113" s="27" t="s">
        <v>253</v>
      </c>
      <c r="BC113" s="27" t="s">
        <v>182</v>
      </c>
      <c r="BD113" s="27" t="s">
        <v>221</v>
      </c>
      <c r="BE113" s="27" t="s">
        <v>523</v>
      </c>
      <c r="BF113" s="27" t="s">
        <v>723</v>
      </c>
      <c r="BG113" s="27" t="s">
        <v>723</v>
      </c>
    </row>
    <row r="114" spans="1:59" ht="15.75" customHeight="1" x14ac:dyDescent="0.2">
      <c r="A114" s="27">
        <v>108</v>
      </c>
      <c r="B114" s="28">
        <v>45744.513526157403</v>
      </c>
      <c r="C114" s="28" t="s">
        <v>792</v>
      </c>
      <c r="D114" s="27" t="s">
        <v>246</v>
      </c>
      <c r="E114" s="27" t="s">
        <v>177</v>
      </c>
      <c r="F114" s="27" t="s">
        <v>200</v>
      </c>
      <c r="G114" s="27" t="s">
        <v>179</v>
      </c>
      <c r="H114" s="27" t="s">
        <v>237</v>
      </c>
      <c r="I114" s="27" t="s">
        <v>198</v>
      </c>
      <c r="J114" s="27" t="s">
        <v>9</v>
      </c>
      <c r="K114" s="27" t="s">
        <v>8</v>
      </c>
      <c r="L114" s="27" t="s">
        <v>9</v>
      </c>
      <c r="M114" s="27" t="s">
        <v>9</v>
      </c>
      <c r="N114" s="27" t="s">
        <v>9</v>
      </c>
      <c r="O114" s="27" t="s">
        <v>9</v>
      </c>
      <c r="P114" s="27" t="s">
        <v>9</v>
      </c>
      <c r="Q114" s="27" t="s">
        <v>9</v>
      </c>
      <c r="R114" s="27" t="s">
        <v>8</v>
      </c>
      <c r="S114" s="27" t="s">
        <v>9</v>
      </c>
      <c r="T114" s="27" t="s">
        <v>9</v>
      </c>
      <c r="U114" s="27" t="s">
        <v>7</v>
      </c>
      <c r="V114" s="27" t="s">
        <v>7</v>
      </c>
      <c r="W114" s="27" t="s">
        <v>8</v>
      </c>
      <c r="X114" s="27" t="s">
        <v>6</v>
      </c>
      <c r="Y114" s="27" t="s">
        <v>6</v>
      </c>
      <c r="Z114" s="27" t="s">
        <v>9</v>
      </c>
      <c r="AA114" s="27" t="s">
        <v>9</v>
      </c>
      <c r="AB114" s="27" t="s">
        <v>7</v>
      </c>
      <c r="AC114" s="27" t="s">
        <v>8</v>
      </c>
      <c r="AD114" s="27" t="s">
        <v>8</v>
      </c>
      <c r="AE114" s="27" t="s">
        <v>8</v>
      </c>
      <c r="AF114" s="27" t="s">
        <v>9</v>
      </c>
      <c r="AG114" s="27" t="s">
        <v>7</v>
      </c>
      <c r="AH114" s="27" t="s">
        <v>8</v>
      </c>
      <c r="AI114" s="27" t="s">
        <v>8</v>
      </c>
      <c r="AJ114" s="27" t="s">
        <v>7</v>
      </c>
      <c r="AK114" s="27" t="s">
        <v>7</v>
      </c>
      <c r="AL114" s="27" t="s">
        <v>8</v>
      </c>
      <c r="AM114" s="27" t="s">
        <v>7</v>
      </c>
      <c r="AN114" s="27" t="s">
        <v>7</v>
      </c>
      <c r="AO114" s="27" t="s">
        <v>7</v>
      </c>
      <c r="AP114" s="27" t="s">
        <v>8</v>
      </c>
      <c r="AQ114" s="27" t="s">
        <v>8</v>
      </c>
      <c r="AR114" s="27" t="s">
        <v>9</v>
      </c>
      <c r="AS114" s="27" t="s">
        <v>8</v>
      </c>
      <c r="AT114" s="27" t="s">
        <v>7</v>
      </c>
      <c r="AU114" s="27" t="s">
        <v>9</v>
      </c>
      <c r="AV114" s="27">
        <v>7</v>
      </c>
      <c r="AW114" s="27">
        <v>10</v>
      </c>
      <c r="AX114" s="27">
        <v>8</v>
      </c>
      <c r="AY114" s="27">
        <v>9</v>
      </c>
      <c r="AZ114" s="27">
        <v>3</v>
      </c>
      <c r="BA114" s="27">
        <v>4</v>
      </c>
      <c r="BB114" s="27" t="s">
        <v>213</v>
      </c>
      <c r="BC114" s="27" t="s">
        <v>182</v>
      </c>
      <c r="BD114" s="27" t="s">
        <v>210</v>
      </c>
      <c r="BE114" s="27" t="s">
        <v>724</v>
      </c>
      <c r="BF114" s="27" t="s">
        <v>725</v>
      </c>
      <c r="BG114" s="27" t="s">
        <v>726</v>
      </c>
    </row>
    <row r="115" spans="1:59" ht="15.75" customHeight="1" x14ac:dyDescent="0.2">
      <c r="A115" s="27">
        <v>109</v>
      </c>
      <c r="B115" s="28">
        <v>45744.5243208912</v>
      </c>
      <c r="C115" s="28" t="s">
        <v>790</v>
      </c>
      <c r="D115" s="27" t="s">
        <v>216</v>
      </c>
      <c r="E115" s="27" t="s">
        <v>193</v>
      </c>
      <c r="F115" s="27" t="s">
        <v>200</v>
      </c>
      <c r="G115" s="27" t="s">
        <v>201</v>
      </c>
      <c r="H115" s="27" t="s">
        <v>187</v>
      </c>
      <c r="I115" s="27" t="s">
        <v>198</v>
      </c>
      <c r="J115" s="27" t="s">
        <v>9</v>
      </c>
      <c r="K115" s="27" t="s">
        <v>8</v>
      </c>
      <c r="L115" s="27" t="s">
        <v>9</v>
      </c>
      <c r="M115" s="27" t="s">
        <v>8</v>
      </c>
      <c r="N115" s="27" t="s">
        <v>7</v>
      </c>
      <c r="O115" s="27" t="s">
        <v>9</v>
      </c>
      <c r="P115" s="27" t="s">
        <v>6</v>
      </c>
      <c r="Q115" s="27" t="s">
        <v>6</v>
      </c>
      <c r="R115" s="27" t="s">
        <v>9</v>
      </c>
      <c r="S115" s="27" t="s">
        <v>6</v>
      </c>
      <c r="T115" s="27" t="s">
        <v>7</v>
      </c>
      <c r="U115" s="27" t="s">
        <v>6</v>
      </c>
      <c r="V115" s="27" t="s">
        <v>6</v>
      </c>
      <c r="W115" s="27" t="s">
        <v>7</v>
      </c>
      <c r="X115" s="27" t="s">
        <v>5</v>
      </c>
      <c r="Y115" s="27" t="s">
        <v>6</v>
      </c>
      <c r="Z115" s="27" t="s">
        <v>6</v>
      </c>
      <c r="AA115" s="27" t="s">
        <v>8</v>
      </c>
      <c r="AB115" s="27" t="s">
        <v>8</v>
      </c>
      <c r="AC115" s="27" t="s">
        <v>9</v>
      </c>
      <c r="AD115" s="27" t="s">
        <v>8</v>
      </c>
      <c r="AE115" s="27" t="s">
        <v>8</v>
      </c>
      <c r="AF115" s="27" t="s">
        <v>7</v>
      </c>
      <c r="AG115" s="27" t="s">
        <v>5</v>
      </c>
      <c r="AH115" s="27" t="s">
        <v>5</v>
      </c>
      <c r="AI115" s="27" t="s">
        <v>5</v>
      </c>
      <c r="AJ115" s="27" t="s">
        <v>9</v>
      </c>
      <c r="AK115" s="27" t="s">
        <v>8</v>
      </c>
      <c r="AL115" s="27" t="s">
        <v>9</v>
      </c>
      <c r="AM115" s="27" t="s">
        <v>8</v>
      </c>
      <c r="AN115" s="27" t="s">
        <v>6</v>
      </c>
      <c r="AO115" s="27" t="s">
        <v>6</v>
      </c>
      <c r="AP115" s="27" t="s">
        <v>8</v>
      </c>
      <c r="AQ115" s="27" t="s">
        <v>5</v>
      </c>
      <c r="AR115" s="27" t="s">
        <v>6</v>
      </c>
      <c r="AS115" s="27" t="s">
        <v>8</v>
      </c>
      <c r="AT115" s="27" t="s">
        <v>6</v>
      </c>
      <c r="AU115" s="27" t="s">
        <v>5</v>
      </c>
      <c r="AV115" s="27">
        <v>3</v>
      </c>
      <c r="AW115" s="27">
        <v>3</v>
      </c>
      <c r="AX115" s="27">
        <v>5</v>
      </c>
      <c r="AY115" s="27">
        <v>7</v>
      </c>
      <c r="AZ115" s="27">
        <v>7</v>
      </c>
      <c r="BA115" s="27">
        <v>1</v>
      </c>
      <c r="BB115" s="27" t="s">
        <v>189</v>
      </c>
      <c r="BC115" s="27" t="s">
        <v>211</v>
      </c>
      <c r="BD115" s="27" t="s">
        <v>196</v>
      </c>
      <c r="BE115" s="27" t="s">
        <v>727</v>
      </c>
      <c r="BF115" s="27" t="s">
        <v>728</v>
      </c>
      <c r="BG115" s="27" t="s">
        <v>729</v>
      </c>
    </row>
    <row r="116" spans="1:59" ht="15.75" customHeight="1" x14ac:dyDescent="0.2">
      <c r="A116" s="27">
        <v>110</v>
      </c>
      <c r="B116" s="28">
        <v>45744.525980520833</v>
      </c>
      <c r="C116" s="28" t="s">
        <v>792</v>
      </c>
      <c r="D116" s="27" t="s">
        <v>266</v>
      </c>
      <c r="E116" s="27" t="s">
        <v>267</v>
      </c>
      <c r="F116" s="27" t="s">
        <v>200</v>
      </c>
      <c r="G116" s="27" t="s">
        <v>201</v>
      </c>
      <c r="H116" s="27" t="s">
        <v>180</v>
      </c>
      <c r="I116" s="27" t="s">
        <v>188</v>
      </c>
      <c r="J116" s="27" t="s">
        <v>9</v>
      </c>
      <c r="K116" s="27" t="s">
        <v>9</v>
      </c>
      <c r="L116" s="27" t="s">
        <v>9</v>
      </c>
      <c r="M116" s="27" t="s">
        <v>9</v>
      </c>
      <c r="N116" s="27" t="s">
        <v>9</v>
      </c>
      <c r="O116" s="27" t="s">
        <v>9</v>
      </c>
      <c r="P116" s="27" t="s">
        <v>7</v>
      </c>
      <c r="Q116" s="27" t="s">
        <v>8</v>
      </c>
      <c r="R116" s="27" t="s">
        <v>8</v>
      </c>
      <c r="S116" s="27" t="s">
        <v>8</v>
      </c>
      <c r="T116" s="27" t="s">
        <v>9</v>
      </c>
      <c r="U116" s="27" t="s">
        <v>9</v>
      </c>
      <c r="V116" s="27" t="s">
        <v>6</v>
      </c>
      <c r="W116" s="27" t="s">
        <v>5</v>
      </c>
      <c r="X116" s="27" t="s">
        <v>9</v>
      </c>
      <c r="Y116" s="27" t="s">
        <v>9</v>
      </c>
      <c r="Z116" s="27" t="s">
        <v>9</v>
      </c>
      <c r="AA116" s="27" t="s">
        <v>9</v>
      </c>
      <c r="AB116" s="27" t="s">
        <v>8</v>
      </c>
      <c r="AC116" s="27" t="s">
        <v>8</v>
      </c>
      <c r="AD116" s="27" t="s">
        <v>8</v>
      </c>
      <c r="AE116" s="27" t="s">
        <v>8</v>
      </c>
      <c r="AF116" s="27" t="s">
        <v>9</v>
      </c>
      <c r="AG116" s="27" t="s">
        <v>5</v>
      </c>
      <c r="AH116" s="27" t="s">
        <v>5</v>
      </c>
      <c r="AI116" s="27" t="s">
        <v>5</v>
      </c>
      <c r="AJ116" s="27" t="s">
        <v>9</v>
      </c>
      <c r="AK116" s="27" t="s">
        <v>9</v>
      </c>
      <c r="AL116" s="27" t="s">
        <v>8</v>
      </c>
      <c r="AM116" s="27" t="s">
        <v>7</v>
      </c>
      <c r="AN116" s="27" t="s">
        <v>8</v>
      </c>
      <c r="AO116" s="27" t="s">
        <v>5</v>
      </c>
      <c r="AP116" s="27" t="s">
        <v>9</v>
      </c>
      <c r="AQ116" s="27" t="s">
        <v>5</v>
      </c>
      <c r="AR116" s="27" t="s">
        <v>9</v>
      </c>
      <c r="AS116" s="27" t="s">
        <v>9</v>
      </c>
      <c r="AT116" s="27" t="s">
        <v>9</v>
      </c>
      <c r="AU116" s="27" t="s">
        <v>7</v>
      </c>
      <c r="AV116" s="27">
        <v>8</v>
      </c>
      <c r="AW116" s="27">
        <v>9</v>
      </c>
      <c r="AX116" s="27">
        <v>10</v>
      </c>
      <c r="AY116" s="27">
        <v>10</v>
      </c>
      <c r="AZ116" s="27">
        <v>9</v>
      </c>
      <c r="BA116" s="27">
        <v>8</v>
      </c>
      <c r="BB116" s="27" t="s">
        <v>428</v>
      </c>
      <c r="BC116" s="27" t="s">
        <v>429</v>
      </c>
      <c r="BD116" s="27" t="s">
        <v>430</v>
      </c>
      <c r="BE116" s="27" t="s">
        <v>730</v>
      </c>
      <c r="BF116" s="27" t="s">
        <v>731</v>
      </c>
      <c r="BG116" s="27" t="s">
        <v>732</v>
      </c>
    </row>
    <row r="117" spans="1:59" ht="15.75" customHeight="1" x14ac:dyDescent="0.2">
      <c r="A117" s="27">
        <v>111</v>
      </c>
      <c r="B117" s="28">
        <v>45744.527029826393</v>
      </c>
      <c r="C117" s="28" t="s">
        <v>788</v>
      </c>
      <c r="D117" s="27" t="s">
        <v>184</v>
      </c>
      <c r="E117" s="27" t="s">
        <v>193</v>
      </c>
      <c r="F117" s="27" t="s">
        <v>186</v>
      </c>
      <c r="G117" s="27" t="s">
        <v>179</v>
      </c>
      <c r="H117" s="27" t="s">
        <v>187</v>
      </c>
      <c r="I117" s="27" t="s">
        <v>208</v>
      </c>
      <c r="J117" s="27" t="s">
        <v>9</v>
      </c>
      <c r="K117" s="27" t="s">
        <v>7</v>
      </c>
      <c r="L117" s="27" t="s">
        <v>9</v>
      </c>
      <c r="M117" s="27" t="s">
        <v>8</v>
      </c>
      <c r="N117" s="27" t="s">
        <v>7</v>
      </c>
      <c r="O117" s="27" t="s">
        <v>7</v>
      </c>
      <c r="P117" s="27" t="s">
        <v>7</v>
      </c>
      <c r="Q117" s="27" t="s">
        <v>6</v>
      </c>
      <c r="R117" s="27" t="s">
        <v>7</v>
      </c>
      <c r="S117" s="27" t="s">
        <v>6</v>
      </c>
      <c r="T117" s="27" t="s">
        <v>7</v>
      </c>
      <c r="U117" s="27" t="s">
        <v>7</v>
      </c>
      <c r="V117" s="27" t="s">
        <v>7</v>
      </c>
      <c r="W117" s="27" t="s">
        <v>9</v>
      </c>
      <c r="X117" s="27" t="s">
        <v>7</v>
      </c>
      <c r="Y117" s="27" t="s">
        <v>7</v>
      </c>
      <c r="Z117" s="27" t="s">
        <v>6</v>
      </c>
      <c r="AA117" s="27" t="s">
        <v>6</v>
      </c>
      <c r="AB117" s="27" t="s">
        <v>9</v>
      </c>
      <c r="AC117" s="27" t="s">
        <v>7</v>
      </c>
      <c r="AD117" s="27" t="s">
        <v>9</v>
      </c>
      <c r="AE117" s="27" t="s">
        <v>9</v>
      </c>
      <c r="AF117" s="27" t="s">
        <v>8</v>
      </c>
      <c r="AG117" s="27" t="s">
        <v>8</v>
      </c>
      <c r="AH117" s="27" t="s">
        <v>9</v>
      </c>
      <c r="AI117" s="27" t="s">
        <v>7</v>
      </c>
      <c r="AJ117" s="27" t="s">
        <v>7</v>
      </c>
      <c r="AK117" s="27" t="s">
        <v>7</v>
      </c>
      <c r="AL117" s="27" t="s">
        <v>8</v>
      </c>
      <c r="AM117" s="27" t="s">
        <v>7</v>
      </c>
      <c r="AN117" s="27" t="s">
        <v>7</v>
      </c>
      <c r="AO117" s="27" t="s">
        <v>7</v>
      </c>
      <c r="AP117" s="27" t="s">
        <v>9</v>
      </c>
      <c r="AQ117" s="27" t="s">
        <v>7</v>
      </c>
      <c r="AR117" s="27" t="s">
        <v>7</v>
      </c>
      <c r="AS117" s="27" t="s">
        <v>7</v>
      </c>
      <c r="AT117" s="27" t="s">
        <v>7</v>
      </c>
      <c r="AU117" s="27" t="s">
        <v>6</v>
      </c>
      <c r="AV117" s="27">
        <v>8</v>
      </c>
      <c r="AW117" s="27">
        <v>6</v>
      </c>
      <c r="AX117" s="27">
        <v>6</v>
      </c>
      <c r="AY117" s="27">
        <v>9</v>
      </c>
      <c r="AZ117" s="27">
        <v>7</v>
      </c>
      <c r="BA117" s="27">
        <v>7</v>
      </c>
      <c r="BB117" s="27" t="s">
        <v>206</v>
      </c>
      <c r="BC117" s="27" t="s">
        <v>190</v>
      </c>
      <c r="BD117" s="27" t="s">
        <v>183</v>
      </c>
      <c r="BE117" s="27" t="s">
        <v>733</v>
      </c>
      <c r="BF117" s="27" t="s">
        <v>734</v>
      </c>
      <c r="BG117" s="27" t="s">
        <v>735</v>
      </c>
    </row>
    <row r="118" spans="1:59" ht="15.75" customHeight="1" x14ac:dyDescent="0.2">
      <c r="A118" s="27">
        <v>112</v>
      </c>
      <c r="B118" s="28">
        <v>45744.53096960648</v>
      </c>
      <c r="C118" s="28" t="s">
        <v>792</v>
      </c>
      <c r="D118" s="27" t="s">
        <v>216</v>
      </c>
      <c r="E118" s="27" t="s">
        <v>224</v>
      </c>
      <c r="F118" s="27" t="s">
        <v>200</v>
      </c>
      <c r="G118" s="27" t="s">
        <v>201</v>
      </c>
      <c r="H118" s="27" t="s">
        <v>187</v>
      </c>
      <c r="I118" s="27" t="s">
        <v>198</v>
      </c>
      <c r="J118" s="27" t="s">
        <v>8</v>
      </c>
      <c r="K118" s="27" t="s">
        <v>9</v>
      </c>
      <c r="L118" s="27" t="s">
        <v>9</v>
      </c>
      <c r="M118" s="27" t="s">
        <v>9</v>
      </c>
      <c r="N118" s="27" t="s">
        <v>9</v>
      </c>
      <c r="O118" s="27" t="s">
        <v>9</v>
      </c>
      <c r="P118" s="27" t="s">
        <v>9</v>
      </c>
      <c r="Q118" s="27" t="s">
        <v>9</v>
      </c>
      <c r="R118" s="27" t="s">
        <v>9</v>
      </c>
      <c r="S118" s="27" t="s">
        <v>9</v>
      </c>
      <c r="T118" s="27" t="s">
        <v>9</v>
      </c>
      <c r="U118" s="27" t="s">
        <v>8</v>
      </c>
      <c r="V118" s="27" t="s">
        <v>7</v>
      </c>
      <c r="W118" s="27" t="s">
        <v>9</v>
      </c>
      <c r="X118" s="27" t="s">
        <v>9</v>
      </c>
      <c r="Y118" s="27" t="s">
        <v>7</v>
      </c>
      <c r="Z118" s="27" t="s">
        <v>9</v>
      </c>
      <c r="AA118" s="27" t="s">
        <v>9</v>
      </c>
      <c r="AB118" s="27" t="s">
        <v>8</v>
      </c>
      <c r="AC118" s="27" t="s">
        <v>7</v>
      </c>
      <c r="AD118" s="27" t="s">
        <v>9</v>
      </c>
      <c r="AE118" s="27" t="s">
        <v>9</v>
      </c>
      <c r="AF118" s="27" t="s">
        <v>8</v>
      </c>
      <c r="AG118" s="27" t="s">
        <v>6</v>
      </c>
      <c r="AH118" s="27" t="s">
        <v>7</v>
      </c>
      <c r="AI118" s="27" t="s">
        <v>7</v>
      </c>
      <c r="AJ118" s="27" t="s">
        <v>9</v>
      </c>
      <c r="AK118" s="27" t="s">
        <v>9</v>
      </c>
      <c r="AL118" s="27" t="s">
        <v>9</v>
      </c>
      <c r="AM118" s="27" t="s">
        <v>9</v>
      </c>
      <c r="AN118" s="27" t="s">
        <v>7</v>
      </c>
      <c r="AO118" s="27" t="s">
        <v>5</v>
      </c>
      <c r="AP118" s="27" t="s">
        <v>9</v>
      </c>
      <c r="AQ118" s="27" t="s">
        <v>5</v>
      </c>
      <c r="AR118" s="27" t="s">
        <v>9</v>
      </c>
      <c r="AS118" s="27" t="s">
        <v>9</v>
      </c>
      <c r="AT118" s="27" t="s">
        <v>7</v>
      </c>
      <c r="AU118" s="27" t="s">
        <v>9</v>
      </c>
      <c r="AV118" s="27">
        <v>10</v>
      </c>
      <c r="AW118" s="27">
        <v>10</v>
      </c>
      <c r="AX118" s="27">
        <v>10</v>
      </c>
      <c r="AY118" s="27">
        <v>10</v>
      </c>
      <c r="AZ118" s="27">
        <v>10</v>
      </c>
      <c r="BA118" s="27">
        <v>10</v>
      </c>
      <c r="BB118" s="27" t="s">
        <v>232</v>
      </c>
      <c r="BC118" s="27" t="s">
        <v>214</v>
      </c>
      <c r="BD118" s="27" t="s">
        <v>221</v>
      </c>
      <c r="BE118" s="27" t="s">
        <v>736</v>
      </c>
      <c r="BF118" s="27" t="s">
        <v>737</v>
      </c>
      <c r="BG118" s="27" t="s">
        <v>738</v>
      </c>
    </row>
    <row r="119" spans="1:59" ht="15.75" customHeight="1" x14ac:dyDescent="0.2">
      <c r="A119" s="27">
        <v>113</v>
      </c>
      <c r="B119" s="28">
        <v>45744.532346342588</v>
      </c>
      <c r="C119" s="28" t="s">
        <v>790</v>
      </c>
      <c r="D119" s="27" t="s">
        <v>184</v>
      </c>
      <c r="E119" s="27" t="s">
        <v>218</v>
      </c>
      <c r="F119" s="27" t="s">
        <v>200</v>
      </c>
      <c r="G119" s="27" t="s">
        <v>201</v>
      </c>
      <c r="H119" s="27" t="s">
        <v>187</v>
      </c>
      <c r="I119" s="27" t="s">
        <v>198</v>
      </c>
      <c r="J119" s="27" t="s">
        <v>8</v>
      </c>
      <c r="K119" s="27" t="s">
        <v>8</v>
      </c>
      <c r="L119" s="27" t="s">
        <v>9</v>
      </c>
      <c r="M119" s="27" t="s">
        <v>8</v>
      </c>
      <c r="N119" s="27" t="s">
        <v>8</v>
      </c>
      <c r="O119" s="27" t="s">
        <v>9</v>
      </c>
      <c r="P119" s="27" t="s">
        <v>8</v>
      </c>
      <c r="Q119" s="27" t="s">
        <v>7</v>
      </c>
      <c r="R119" s="27" t="s">
        <v>9</v>
      </c>
      <c r="S119" s="27" t="s">
        <v>8</v>
      </c>
      <c r="T119" s="27" t="s">
        <v>8</v>
      </c>
      <c r="U119" s="27" t="s">
        <v>9</v>
      </c>
      <c r="V119" s="27" t="s">
        <v>7</v>
      </c>
      <c r="W119" s="27" t="s">
        <v>8</v>
      </c>
      <c r="X119" s="27" t="s">
        <v>8</v>
      </c>
      <c r="Y119" s="27" t="s">
        <v>8</v>
      </c>
      <c r="Z119" s="27" t="s">
        <v>8</v>
      </c>
      <c r="AA119" s="27" t="s">
        <v>8</v>
      </c>
      <c r="AB119" s="27" t="s">
        <v>9</v>
      </c>
      <c r="AC119" s="27" t="s">
        <v>8</v>
      </c>
      <c r="AD119" s="27" t="s">
        <v>8</v>
      </c>
      <c r="AE119" s="27" t="s">
        <v>9</v>
      </c>
      <c r="AF119" s="27" t="s">
        <v>9</v>
      </c>
      <c r="AG119" s="27" t="s">
        <v>8</v>
      </c>
      <c r="AH119" s="27" t="s">
        <v>8</v>
      </c>
      <c r="AI119" s="27" t="s">
        <v>8</v>
      </c>
      <c r="AJ119" s="27" t="s">
        <v>8</v>
      </c>
      <c r="AK119" s="27" t="s">
        <v>8</v>
      </c>
      <c r="AL119" s="27" t="s">
        <v>8</v>
      </c>
      <c r="AM119" s="27" t="s">
        <v>8</v>
      </c>
      <c r="AN119" s="27" t="s">
        <v>8</v>
      </c>
      <c r="AO119" s="27" t="s">
        <v>8</v>
      </c>
      <c r="AP119" s="27" t="s">
        <v>8</v>
      </c>
      <c r="AQ119" s="27" t="s">
        <v>7</v>
      </c>
      <c r="AR119" s="27" t="s">
        <v>8</v>
      </c>
      <c r="AS119" s="27" t="s">
        <v>8</v>
      </c>
      <c r="AT119" s="27" t="s">
        <v>8</v>
      </c>
      <c r="AU119" s="27" t="s">
        <v>7</v>
      </c>
      <c r="AV119" s="27">
        <v>9</v>
      </c>
      <c r="AW119" s="27">
        <v>7</v>
      </c>
      <c r="AX119" s="27">
        <v>8</v>
      </c>
      <c r="AY119" s="27">
        <v>9</v>
      </c>
      <c r="AZ119" s="27">
        <v>9</v>
      </c>
      <c r="BA119" s="27">
        <v>8</v>
      </c>
      <c r="BB119" s="27" t="s">
        <v>206</v>
      </c>
      <c r="BC119" s="27" t="s">
        <v>214</v>
      </c>
      <c r="BD119" s="27" t="s">
        <v>210</v>
      </c>
      <c r="BE119" s="27" t="s">
        <v>739</v>
      </c>
      <c r="BF119" s="27" t="s">
        <v>740</v>
      </c>
      <c r="BG119" s="27" t="s">
        <v>741</v>
      </c>
    </row>
    <row r="120" spans="1:59" ht="15.75" customHeight="1" x14ac:dyDescent="0.2">
      <c r="A120" s="27">
        <v>114</v>
      </c>
      <c r="B120" s="28">
        <v>45744.536282106477</v>
      </c>
      <c r="C120" s="28" t="s">
        <v>791</v>
      </c>
      <c r="D120" s="27" t="s">
        <v>176</v>
      </c>
      <c r="E120" s="27" t="s">
        <v>193</v>
      </c>
      <c r="F120" s="27" t="s">
        <v>200</v>
      </c>
      <c r="G120" s="27" t="s">
        <v>201</v>
      </c>
      <c r="H120" s="27" t="s">
        <v>187</v>
      </c>
      <c r="I120" s="27" t="s">
        <v>208</v>
      </c>
      <c r="J120" s="27" t="s">
        <v>9</v>
      </c>
      <c r="K120" s="27" t="s">
        <v>9</v>
      </c>
      <c r="L120" s="27" t="s">
        <v>9</v>
      </c>
      <c r="M120" s="27" t="s">
        <v>9</v>
      </c>
      <c r="N120" s="27" t="s">
        <v>9</v>
      </c>
      <c r="O120" s="27" t="s">
        <v>9</v>
      </c>
      <c r="P120" s="27" t="s">
        <v>9</v>
      </c>
      <c r="Q120" s="27" t="s">
        <v>9</v>
      </c>
      <c r="R120" s="27" t="s">
        <v>9</v>
      </c>
      <c r="S120" s="27" t="s">
        <v>9</v>
      </c>
      <c r="T120" s="27" t="s">
        <v>9</v>
      </c>
      <c r="U120" s="27" t="s">
        <v>9</v>
      </c>
      <c r="V120" s="27" t="s">
        <v>9</v>
      </c>
      <c r="W120" s="27" t="s">
        <v>9</v>
      </c>
      <c r="X120" s="27" t="s">
        <v>9</v>
      </c>
      <c r="Y120" s="27" t="s">
        <v>9</v>
      </c>
      <c r="Z120" s="27" t="s">
        <v>9</v>
      </c>
      <c r="AA120" s="27" t="s">
        <v>9</v>
      </c>
      <c r="AB120" s="27" t="s">
        <v>9</v>
      </c>
      <c r="AC120" s="27" t="s">
        <v>9</v>
      </c>
      <c r="AD120" s="27" t="s">
        <v>9</v>
      </c>
      <c r="AE120" s="27" t="s">
        <v>9</v>
      </c>
      <c r="AF120" s="27" t="s">
        <v>9</v>
      </c>
      <c r="AG120" s="27" t="s">
        <v>9</v>
      </c>
      <c r="AH120" s="27" t="s">
        <v>9</v>
      </c>
      <c r="AI120" s="27" t="s">
        <v>9</v>
      </c>
      <c r="AJ120" s="27" t="s">
        <v>9</v>
      </c>
      <c r="AK120" s="27" t="s">
        <v>9</v>
      </c>
      <c r="AL120" s="27" t="s">
        <v>9</v>
      </c>
      <c r="AM120" s="27" t="s">
        <v>9</v>
      </c>
      <c r="AN120" s="27" t="s">
        <v>9</v>
      </c>
      <c r="AO120" s="27" t="s">
        <v>9</v>
      </c>
      <c r="AP120" s="27" t="s">
        <v>9</v>
      </c>
      <c r="AQ120" s="27" t="s">
        <v>9</v>
      </c>
      <c r="AR120" s="27" t="s">
        <v>9</v>
      </c>
      <c r="AS120" s="27" t="s">
        <v>9</v>
      </c>
      <c r="AT120" s="27" t="s">
        <v>9</v>
      </c>
      <c r="AU120" s="27" t="s">
        <v>9</v>
      </c>
      <c r="AV120" s="27">
        <v>10</v>
      </c>
      <c r="AW120" s="27">
        <v>10</v>
      </c>
      <c r="AX120" s="27">
        <v>10</v>
      </c>
      <c r="AY120" s="27">
        <v>10</v>
      </c>
      <c r="AZ120" s="27">
        <v>10</v>
      </c>
      <c r="BA120" s="27">
        <v>10</v>
      </c>
      <c r="BB120" s="27" t="s">
        <v>234</v>
      </c>
      <c r="BC120" s="27" t="s">
        <v>234</v>
      </c>
      <c r="BD120" s="27" t="s">
        <v>234</v>
      </c>
      <c r="BE120" s="27" t="s">
        <v>202</v>
      </c>
      <c r="BF120" s="27" t="s">
        <v>742</v>
      </c>
      <c r="BG120" s="27" t="s">
        <v>234</v>
      </c>
    </row>
    <row r="121" spans="1:59" ht="15.75" customHeight="1" x14ac:dyDescent="0.2">
      <c r="A121" s="27">
        <v>115</v>
      </c>
      <c r="B121" s="28">
        <v>45744.536458692135</v>
      </c>
      <c r="C121" s="28" t="s">
        <v>792</v>
      </c>
      <c r="D121" s="27" t="s">
        <v>216</v>
      </c>
      <c r="E121" s="27" t="s">
        <v>224</v>
      </c>
      <c r="F121" s="27" t="s">
        <v>200</v>
      </c>
      <c r="G121" s="27" t="s">
        <v>179</v>
      </c>
      <c r="H121" s="27" t="s">
        <v>187</v>
      </c>
      <c r="I121" s="27" t="s">
        <v>194</v>
      </c>
      <c r="J121" s="27" t="s">
        <v>9</v>
      </c>
      <c r="K121" s="27" t="s">
        <v>5</v>
      </c>
      <c r="L121" s="27" t="s">
        <v>9</v>
      </c>
      <c r="M121" s="27" t="s">
        <v>8</v>
      </c>
      <c r="N121" s="27" t="s">
        <v>8</v>
      </c>
      <c r="O121" s="27" t="s">
        <v>8</v>
      </c>
      <c r="P121" s="27" t="s">
        <v>7</v>
      </c>
      <c r="Q121" s="27" t="s">
        <v>7</v>
      </c>
      <c r="R121" s="27" t="s">
        <v>7</v>
      </c>
      <c r="S121" s="27" t="s">
        <v>6</v>
      </c>
      <c r="T121" s="27" t="s">
        <v>8</v>
      </c>
      <c r="U121" s="27" t="s">
        <v>5</v>
      </c>
      <c r="V121" s="27" t="s">
        <v>6</v>
      </c>
      <c r="W121" s="27" t="s">
        <v>5</v>
      </c>
      <c r="X121" s="27" t="s">
        <v>5</v>
      </c>
      <c r="Y121" s="27" t="s">
        <v>6</v>
      </c>
      <c r="Z121" s="27" t="s">
        <v>8</v>
      </c>
      <c r="AA121" s="27" t="s">
        <v>8</v>
      </c>
      <c r="AB121" s="27" t="s">
        <v>5</v>
      </c>
      <c r="AC121" s="27" t="s">
        <v>8</v>
      </c>
      <c r="AD121" s="27" t="s">
        <v>8</v>
      </c>
      <c r="AE121" s="27" t="s">
        <v>8</v>
      </c>
      <c r="AF121" s="27" t="s">
        <v>8</v>
      </c>
      <c r="AG121" s="27" t="s">
        <v>5</v>
      </c>
      <c r="AH121" s="27" t="s">
        <v>5</v>
      </c>
      <c r="AI121" s="27" t="s">
        <v>5</v>
      </c>
      <c r="AJ121" s="27" t="s">
        <v>8</v>
      </c>
      <c r="AK121" s="27" t="s">
        <v>7</v>
      </c>
      <c r="AL121" s="27" t="s">
        <v>7</v>
      </c>
      <c r="AM121" s="27" t="s">
        <v>8</v>
      </c>
      <c r="AN121" s="27" t="s">
        <v>6</v>
      </c>
      <c r="AO121" s="27" t="s">
        <v>5</v>
      </c>
      <c r="AP121" s="27" t="s">
        <v>8</v>
      </c>
      <c r="AQ121" s="27" t="s">
        <v>5</v>
      </c>
      <c r="AR121" s="27" t="s">
        <v>8</v>
      </c>
      <c r="AS121" s="27" t="s">
        <v>8</v>
      </c>
      <c r="AT121" s="27" t="s">
        <v>8</v>
      </c>
      <c r="AU121" s="27" t="s">
        <v>7</v>
      </c>
      <c r="AV121" s="27">
        <v>4</v>
      </c>
      <c r="AW121" s="27">
        <v>4</v>
      </c>
      <c r="AX121" s="27">
        <v>9</v>
      </c>
      <c r="AY121" s="27">
        <v>9</v>
      </c>
      <c r="AZ121" s="27">
        <v>2</v>
      </c>
      <c r="BA121" s="27">
        <v>2</v>
      </c>
      <c r="BB121" s="27" t="s">
        <v>431</v>
      </c>
      <c r="BC121" s="27" t="s">
        <v>432</v>
      </c>
      <c r="BD121" s="27" t="s">
        <v>433</v>
      </c>
      <c r="BE121" s="27" t="s">
        <v>743</v>
      </c>
      <c r="BF121" s="27" t="s">
        <v>744</v>
      </c>
      <c r="BG121" s="27" t="s">
        <v>745</v>
      </c>
    </row>
    <row r="122" spans="1:59" ht="15.75" customHeight="1" x14ac:dyDescent="0.2">
      <c r="A122" s="27">
        <v>116</v>
      </c>
      <c r="B122" s="28">
        <v>45744.542569259254</v>
      </c>
      <c r="C122" s="28" t="s">
        <v>792</v>
      </c>
      <c r="D122" s="27" t="s">
        <v>266</v>
      </c>
      <c r="E122" s="27" t="s">
        <v>217</v>
      </c>
      <c r="F122" s="27" t="s">
        <v>186</v>
      </c>
      <c r="G122" s="27" t="s">
        <v>201</v>
      </c>
      <c r="H122" s="27" t="s">
        <v>187</v>
      </c>
      <c r="I122" s="27" t="s">
        <v>198</v>
      </c>
      <c r="J122" s="27" t="s">
        <v>7</v>
      </c>
      <c r="K122" s="27" t="s">
        <v>7</v>
      </c>
      <c r="L122" s="27" t="s">
        <v>9</v>
      </c>
      <c r="M122" s="27" t="s">
        <v>9</v>
      </c>
      <c r="N122" s="27" t="s">
        <v>9</v>
      </c>
      <c r="O122" s="27" t="s">
        <v>9</v>
      </c>
      <c r="P122" s="27" t="s">
        <v>7</v>
      </c>
      <c r="Q122" s="27" t="s">
        <v>7</v>
      </c>
      <c r="R122" s="27" t="s">
        <v>6</v>
      </c>
      <c r="S122" s="27" t="s">
        <v>7</v>
      </c>
      <c r="T122" s="27" t="s">
        <v>7</v>
      </c>
      <c r="U122" s="27" t="s">
        <v>5</v>
      </c>
      <c r="V122" s="27" t="s">
        <v>5</v>
      </c>
      <c r="W122" s="27" t="s">
        <v>5</v>
      </c>
      <c r="X122" s="27" t="s">
        <v>5</v>
      </c>
      <c r="Y122" s="27" t="s">
        <v>5</v>
      </c>
      <c r="Z122" s="27" t="s">
        <v>7</v>
      </c>
      <c r="AA122" s="27" t="s">
        <v>7</v>
      </c>
      <c r="AB122" s="27" t="s">
        <v>5</v>
      </c>
      <c r="AC122" s="27" t="s">
        <v>7</v>
      </c>
      <c r="AD122" s="27" t="s">
        <v>6</v>
      </c>
      <c r="AE122" s="27" t="s">
        <v>9</v>
      </c>
      <c r="AF122" s="27" t="s">
        <v>7</v>
      </c>
      <c r="AG122" s="27" t="s">
        <v>5</v>
      </c>
      <c r="AH122" s="27" t="s">
        <v>5</v>
      </c>
      <c r="AI122" s="27" t="s">
        <v>5</v>
      </c>
      <c r="AJ122" s="27" t="s">
        <v>6</v>
      </c>
      <c r="AK122" s="27" t="s">
        <v>5</v>
      </c>
      <c r="AL122" s="27" t="s">
        <v>9</v>
      </c>
      <c r="AM122" s="27" t="s">
        <v>9</v>
      </c>
      <c r="AN122" s="27" t="s">
        <v>5</v>
      </c>
      <c r="AO122" s="27" t="s">
        <v>5</v>
      </c>
      <c r="AP122" s="27" t="s">
        <v>9</v>
      </c>
      <c r="AQ122" s="27" t="s">
        <v>5</v>
      </c>
      <c r="AR122" s="27" t="s">
        <v>7</v>
      </c>
      <c r="AS122" s="27" t="s">
        <v>9</v>
      </c>
      <c r="AT122" s="27" t="s">
        <v>5</v>
      </c>
      <c r="AU122" s="27" t="s">
        <v>5</v>
      </c>
      <c r="AV122" s="27">
        <v>4</v>
      </c>
      <c r="AW122" s="27">
        <v>4</v>
      </c>
      <c r="AX122" s="27">
        <v>10</v>
      </c>
      <c r="AY122" s="27">
        <v>10</v>
      </c>
      <c r="AZ122" s="27">
        <v>0</v>
      </c>
      <c r="BA122" s="27">
        <v>0</v>
      </c>
      <c r="BB122" s="27" t="s">
        <v>434</v>
      </c>
      <c r="BC122" s="27" t="s">
        <v>435</v>
      </c>
      <c r="BD122" s="27" t="s">
        <v>436</v>
      </c>
      <c r="BE122" s="27" t="s">
        <v>746</v>
      </c>
      <c r="BF122" s="27" t="s">
        <v>747</v>
      </c>
      <c r="BG122" s="27" t="s">
        <v>748</v>
      </c>
    </row>
    <row r="123" spans="1:59" ht="15.75" customHeight="1" x14ac:dyDescent="0.2">
      <c r="A123" s="27">
        <v>117</v>
      </c>
      <c r="B123" s="28">
        <v>45744.548926921299</v>
      </c>
      <c r="C123" s="28" t="s">
        <v>792</v>
      </c>
      <c r="D123" s="27" t="s">
        <v>27</v>
      </c>
      <c r="E123" s="27" t="s">
        <v>328</v>
      </c>
      <c r="F123" s="27" t="s">
        <v>205</v>
      </c>
      <c r="G123" s="27" t="s">
        <v>179</v>
      </c>
      <c r="H123" s="27" t="s">
        <v>187</v>
      </c>
      <c r="I123" s="27" t="s">
        <v>198</v>
      </c>
      <c r="J123" s="27" t="s">
        <v>8</v>
      </c>
      <c r="K123" s="27" t="s">
        <v>8</v>
      </c>
      <c r="L123" s="27" t="s">
        <v>8</v>
      </c>
      <c r="M123" s="27" t="s">
        <v>8</v>
      </c>
      <c r="N123" s="27" t="s">
        <v>8</v>
      </c>
      <c r="O123" s="27" t="s">
        <v>8</v>
      </c>
      <c r="P123" s="27" t="s">
        <v>8</v>
      </c>
      <c r="Q123" s="27" t="s">
        <v>8</v>
      </c>
      <c r="R123" s="27" t="s">
        <v>8</v>
      </c>
      <c r="S123" s="27" t="s">
        <v>8</v>
      </c>
      <c r="T123" s="27" t="s">
        <v>8</v>
      </c>
      <c r="U123" s="27" t="s">
        <v>8</v>
      </c>
      <c r="V123" s="27" t="s">
        <v>8</v>
      </c>
      <c r="W123" s="27" t="s">
        <v>8</v>
      </c>
      <c r="X123" s="27" t="s">
        <v>8</v>
      </c>
      <c r="Y123" s="27" t="s">
        <v>8</v>
      </c>
      <c r="Z123" s="27" t="s">
        <v>8</v>
      </c>
      <c r="AA123" s="27" t="s">
        <v>8</v>
      </c>
      <c r="AB123" s="27" t="s">
        <v>8</v>
      </c>
      <c r="AC123" s="27" t="s">
        <v>8</v>
      </c>
      <c r="AD123" s="27" t="s">
        <v>8</v>
      </c>
      <c r="AE123" s="27" t="s">
        <v>8</v>
      </c>
      <c r="AF123" s="27" t="s">
        <v>8</v>
      </c>
      <c r="AG123" s="27" t="s">
        <v>8</v>
      </c>
      <c r="AH123" s="27" t="s">
        <v>8</v>
      </c>
      <c r="AI123" s="27" t="s">
        <v>8</v>
      </c>
      <c r="AJ123" s="27" t="s">
        <v>8</v>
      </c>
      <c r="AK123" s="27" t="s">
        <v>8</v>
      </c>
      <c r="AL123" s="27" t="s">
        <v>8</v>
      </c>
      <c r="AM123" s="27" t="s">
        <v>8</v>
      </c>
      <c r="AN123" s="27" t="s">
        <v>8</v>
      </c>
      <c r="AO123" s="27" t="s">
        <v>8</v>
      </c>
      <c r="AP123" s="27" t="s">
        <v>8</v>
      </c>
      <c r="AQ123" s="27" t="s">
        <v>8</v>
      </c>
      <c r="AR123" s="27" t="s">
        <v>8</v>
      </c>
      <c r="AS123" s="27" t="s">
        <v>8</v>
      </c>
      <c r="AT123" s="27" t="s">
        <v>8</v>
      </c>
      <c r="AU123" s="27" t="s">
        <v>8</v>
      </c>
      <c r="AV123" s="27">
        <v>8</v>
      </c>
      <c r="AW123" s="27">
        <v>8</v>
      </c>
      <c r="AX123" s="27">
        <v>8</v>
      </c>
      <c r="AY123" s="27">
        <v>8</v>
      </c>
      <c r="AZ123" s="27">
        <v>8</v>
      </c>
      <c r="BA123" s="27">
        <v>8</v>
      </c>
      <c r="BB123" s="27" t="s">
        <v>222</v>
      </c>
      <c r="BC123" s="27" t="s">
        <v>437</v>
      </c>
      <c r="BD123" s="27" t="s">
        <v>251</v>
      </c>
      <c r="BE123" s="27" t="s">
        <v>749</v>
      </c>
      <c r="BF123" s="27" t="s">
        <v>750</v>
      </c>
      <c r="BG123" s="27" t="s">
        <v>751</v>
      </c>
    </row>
    <row r="124" spans="1:59" ht="15.75" customHeight="1" x14ac:dyDescent="0.2">
      <c r="A124" s="27">
        <v>118</v>
      </c>
      <c r="B124" s="28">
        <v>45744.55608199074</v>
      </c>
      <c r="C124" s="28" t="s">
        <v>792</v>
      </c>
      <c r="D124" s="27" t="s">
        <v>216</v>
      </c>
      <c r="E124" s="27" t="s">
        <v>224</v>
      </c>
      <c r="F124" s="27" t="s">
        <v>200</v>
      </c>
      <c r="G124" s="27" t="s">
        <v>179</v>
      </c>
      <c r="H124" s="27" t="s">
        <v>180</v>
      </c>
      <c r="I124" s="27" t="s">
        <v>181</v>
      </c>
      <c r="J124" s="27" t="s">
        <v>8</v>
      </c>
      <c r="K124" s="27" t="s">
        <v>8</v>
      </c>
      <c r="L124" s="27" t="s">
        <v>8</v>
      </c>
      <c r="M124" s="27" t="s">
        <v>9</v>
      </c>
      <c r="N124" s="27" t="s">
        <v>8</v>
      </c>
      <c r="O124" s="27" t="s">
        <v>8</v>
      </c>
      <c r="P124" s="27" t="s">
        <v>8</v>
      </c>
      <c r="Q124" s="27" t="s">
        <v>8</v>
      </c>
      <c r="R124" s="27" t="s">
        <v>8</v>
      </c>
      <c r="S124" s="27" t="s">
        <v>8</v>
      </c>
      <c r="T124" s="27" t="s">
        <v>8</v>
      </c>
      <c r="U124" s="27" t="s">
        <v>8</v>
      </c>
      <c r="V124" s="27" t="s">
        <v>8</v>
      </c>
      <c r="W124" s="27" t="s">
        <v>8</v>
      </c>
      <c r="X124" s="27" t="s">
        <v>8</v>
      </c>
      <c r="Y124" s="27" t="s">
        <v>6</v>
      </c>
      <c r="Z124" s="27" t="s">
        <v>8</v>
      </c>
      <c r="AA124" s="27" t="s">
        <v>8</v>
      </c>
      <c r="AB124" s="27" t="s">
        <v>8</v>
      </c>
      <c r="AC124" s="27" t="s">
        <v>8</v>
      </c>
      <c r="AD124" s="27" t="s">
        <v>8</v>
      </c>
      <c r="AE124" s="27" t="s">
        <v>8</v>
      </c>
      <c r="AF124" s="27" t="s">
        <v>7</v>
      </c>
      <c r="AG124" s="27" t="s">
        <v>6</v>
      </c>
      <c r="AH124" s="27" t="s">
        <v>6</v>
      </c>
      <c r="AI124" s="27" t="s">
        <v>7</v>
      </c>
      <c r="AJ124" s="27" t="s">
        <v>8</v>
      </c>
      <c r="AK124" s="27" t="s">
        <v>8</v>
      </c>
      <c r="AL124" s="27" t="s">
        <v>8</v>
      </c>
      <c r="AM124" s="27" t="s">
        <v>8</v>
      </c>
      <c r="AN124" s="27" t="s">
        <v>8</v>
      </c>
      <c r="AO124" s="27" t="s">
        <v>7</v>
      </c>
      <c r="AP124" s="27" t="s">
        <v>8</v>
      </c>
      <c r="AQ124" s="27" t="s">
        <v>6</v>
      </c>
      <c r="AR124" s="27" t="s">
        <v>8</v>
      </c>
      <c r="AS124" s="27" t="s">
        <v>8</v>
      </c>
      <c r="AT124" s="27" t="s">
        <v>7</v>
      </c>
      <c r="AU124" s="27" t="s">
        <v>8</v>
      </c>
      <c r="AV124" s="27">
        <v>9</v>
      </c>
      <c r="AW124" s="27">
        <v>9</v>
      </c>
      <c r="AX124" s="27">
        <v>9</v>
      </c>
      <c r="AY124" s="27">
        <v>9</v>
      </c>
      <c r="AZ124" s="27">
        <v>9</v>
      </c>
      <c r="BA124" s="27">
        <v>9</v>
      </c>
      <c r="BB124" s="27" t="s">
        <v>232</v>
      </c>
      <c r="BC124" s="27" t="s">
        <v>190</v>
      </c>
      <c r="BD124" s="27" t="s">
        <v>251</v>
      </c>
      <c r="BE124" s="27" t="s">
        <v>752</v>
      </c>
      <c r="BF124" s="27" t="s">
        <v>268</v>
      </c>
      <c r="BG124" s="27" t="s">
        <v>753</v>
      </c>
    </row>
    <row r="125" spans="1:59" ht="15.75" customHeight="1" x14ac:dyDescent="0.2">
      <c r="A125" s="27">
        <v>119</v>
      </c>
      <c r="B125" s="28">
        <v>45744.564505023147</v>
      </c>
      <c r="C125" s="28" t="s">
        <v>790</v>
      </c>
      <c r="D125" s="27" t="s">
        <v>184</v>
      </c>
      <c r="E125" s="27" t="s">
        <v>217</v>
      </c>
      <c r="F125" s="27" t="s">
        <v>200</v>
      </c>
      <c r="G125" s="27" t="s">
        <v>201</v>
      </c>
      <c r="H125" s="27" t="s">
        <v>187</v>
      </c>
      <c r="I125" s="27" t="s">
        <v>208</v>
      </c>
      <c r="J125" s="27" t="s">
        <v>8</v>
      </c>
      <c r="K125" s="27" t="s">
        <v>8</v>
      </c>
      <c r="L125" s="27" t="s">
        <v>9</v>
      </c>
      <c r="M125" s="27" t="s">
        <v>9</v>
      </c>
      <c r="N125" s="27" t="s">
        <v>9</v>
      </c>
      <c r="O125" s="27" t="s">
        <v>8</v>
      </c>
      <c r="P125" s="27" t="s">
        <v>8</v>
      </c>
      <c r="Q125" s="27" t="s">
        <v>8</v>
      </c>
      <c r="R125" s="27" t="s">
        <v>9</v>
      </c>
      <c r="S125" s="27" t="s">
        <v>8</v>
      </c>
      <c r="T125" s="27" t="s">
        <v>8</v>
      </c>
      <c r="U125" s="27" t="s">
        <v>8</v>
      </c>
      <c r="V125" s="27" t="s">
        <v>7</v>
      </c>
      <c r="W125" s="27" t="s">
        <v>9</v>
      </c>
      <c r="X125" s="27" t="s">
        <v>9</v>
      </c>
      <c r="Y125" s="27" t="s">
        <v>8</v>
      </c>
      <c r="Z125" s="27" t="s">
        <v>8</v>
      </c>
      <c r="AA125" s="27" t="s">
        <v>8</v>
      </c>
      <c r="AB125" s="27" t="s">
        <v>9</v>
      </c>
      <c r="AC125" s="27" t="s">
        <v>9</v>
      </c>
      <c r="AD125" s="27" t="s">
        <v>9</v>
      </c>
      <c r="AE125" s="27" t="s">
        <v>9</v>
      </c>
      <c r="AF125" s="27" t="s">
        <v>9</v>
      </c>
      <c r="AG125" s="27" t="s">
        <v>8</v>
      </c>
      <c r="AH125" s="27" t="s">
        <v>8</v>
      </c>
      <c r="AI125" s="27" t="s">
        <v>8</v>
      </c>
      <c r="AJ125" s="27" t="s">
        <v>8</v>
      </c>
      <c r="AK125" s="27" t="s">
        <v>8</v>
      </c>
      <c r="AL125" s="27" t="s">
        <v>8</v>
      </c>
      <c r="AM125" s="27" t="s">
        <v>8</v>
      </c>
      <c r="AN125" s="27" t="s">
        <v>8</v>
      </c>
      <c r="AO125" s="27" t="s">
        <v>7</v>
      </c>
      <c r="AP125" s="27" t="s">
        <v>9</v>
      </c>
      <c r="AQ125" s="27" t="s">
        <v>8</v>
      </c>
      <c r="AR125" s="27" t="s">
        <v>8</v>
      </c>
      <c r="AS125" s="27" t="s">
        <v>8</v>
      </c>
      <c r="AT125" s="27" t="s">
        <v>9</v>
      </c>
      <c r="AU125" s="27" t="s">
        <v>8</v>
      </c>
      <c r="AV125" s="27">
        <v>9</v>
      </c>
      <c r="AW125" s="27">
        <v>9</v>
      </c>
      <c r="AX125" s="27">
        <v>9</v>
      </c>
      <c r="AY125" s="27">
        <v>9</v>
      </c>
      <c r="AZ125" s="27">
        <v>10</v>
      </c>
      <c r="BA125" s="27">
        <v>10</v>
      </c>
      <c r="BB125" s="27" t="s">
        <v>189</v>
      </c>
      <c r="BC125" s="27" t="s">
        <v>190</v>
      </c>
      <c r="BD125" s="27" t="s">
        <v>221</v>
      </c>
      <c r="BE125" s="27" t="s">
        <v>754</v>
      </c>
      <c r="BF125" s="27" t="s">
        <v>755</v>
      </c>
      <c r="BG125" s="27" t="s">
        <v>756</v>
      </c>
    </row>
    <row r="126" spans="1:59" ht="15.75" customHeight="1" x14ac:dyDescent="0.2">
      <c r="A126" s="27">
        <v>120</v>
      </c>
      <c r="B126" s="28">
        <v>45744.614165185187</v>
      </c>
      <c r="C126" s="28" t="s">
        <v>792</v>
      </c>
      <c r="D126" s="27" t="s">
        <v>216</v>
      </c>
      <c r="E126" s="27" t="s">
        <v>217</v>
      </c>
      <c r="F126" s="27" t="s">
        <v>178</v>
      </c>
      <c r="G126" s="27" t="s">
        <v>179</v>
      </c>
      <c r="H126" s="27" t="s">
        <v>187</v>
      </c>
      <c r="I126" s="27" t="s">
        <v>188</v>
      </c>
      <c r="J126" s="27" t="s">
        <v>8</v>
      </c>
      <c r="K126" s="27" t="s">
        <v>8</v>
      </c>
      <c r="L126" s="27" t="s">
        <v>8</v>
      </c>
      <c r="M126" s="27" t="s">
        <v>9</v>
      </c>
      <c r="N126" s="27" t="s">
        <v>9</v>
      </c>
      <c r="O126" s="27" t="s">
        <v>9</v>
      </c>
      <c r="P126" s="27" t="s">
        <v>8</v>
      </c>
      <c r="Q126" s="27" t="s">
        <v>8</v>
      </c>
      <c r="R126" s="27" t="s">
        <v>9</v>
      </c>
      <c r="S126" s="27" t="s">
        <v>8</v>
      </c>
      <c r="T126" s="27" t="s">
        <v>9</v>
      </c>
      <c r="U126" s="27" t="s">
        <v>9</v>
      </c>
      <c r="V126" s="27" t="s">
        <v>8</v>
      </c>
      <c r="W126" s="27" t="s">
        <v>9</v>
      </c>
      <c r="X126" s="27" t="s">
        <v>9</v>
      </c>
      <c r="Y126" s="27" t="s">
        <v>8</v>
      </c>
      <c r="Z126" s="27" t="s">
        <v>8</v>
      </c>
      <c r="AA126" s="27" t="s">
        <v>8</v>
      </c>
      <c r="AB126" s="27" t="s">
        <v>7</v>
      </c>
      <c r="AC126" s="27" t="s">
        <v>9</v>
      </c>
      <c r="AD126" s="27" t="s">
        <v>9</v>
      </c>
      <c r="AE126" s="27" t="s">
        <v>9</v>
      </c>
      <c r="AF126" s="27" t="s">
        <v>8</v>
      </c>
      <c r="AG126" s="27" t="s">
        <v>7</v>
      </c>
      <c r="AH126" s="27" t="s">
        <v>7</v>
      </c>
      <c r="AI126" s="27" t="s">
        <v>6</v>
      </c>
      <c r="AJ126" s="27" t="s">
        <v>8</v>
      </c>
      <c r="AK126" s="27" t="s">
        <v>8</v>
      </c>
      <c r="AL126" s="27" t="s">
        <v>9</v>
      </c>
      <c r="AM126" s="27" t="s">
        <v>8</v>
      </c>
      <c r="AN126" s="27" t="s">
        <v>8</v>
      </c>
      <c r="AO126" s="27" t="s">
        <v>7</v>
      </c>
      <c r="AP126" s="27" t="s">
        <v>8</v>
      </c>
      <c r="AQ126" s="27" t="s">
        <v>8</v>
      </c>
      <c r="AR126" s="27" t="s">
        <v>9</v>
      </c>
      <c r="AS126" s="27" t="s">
        <v>8</v>
      </c>
      <c r="AT126" s="27" t="s">
        <v>8</v>
      </c>
      <c r="AU126" s="27" t="s">
        <v>8</v>
      </c>
      <c r="AV126" s="27">
        <v>8</v>
      </c>
      <c r="AW126" s="27">
        <v>8</v>
      </c>
      <c r="AX126" s="27">
        <v>10</v>
      </c>
      <c r="AY126" s="27">
        <v>8</v>
      </c>
      <c r="AZ126" s="27">
        <v>7</v>
      </c>
      <c r="BA126" s="27">
        <v>8</v>
      </c>
      <c r="BB126" s="27" t="s">
        <v>209</v>
      </c>
      <c r="BC126" s="27" t="s">
        <v>195</v>
      </c>
      <c r="BD126" s="27" t="s">
        <v>438</v>
      </c>
      <c r="BE126" s="27" t="s">
        <v>757</v>
      </c>
      <c r="BF126" s="27" t="s">
        <v>758</v>
      </c>
      <c r="BG126" s="27" t="s">
        <v>759</v>
      </c>
    </row>
    <row r="127" spans="1:59" ht="15.75" customHeight="1" x14ac:dyDescent="0.2">
      <c r="A127" s="27">
        <v>121</v>
      </c>
      <c r="B127" s="28">
        <v>45744.625564305556</v>
      </c>
      <c r="C127" s="28" t="s">
        <v>790</v>
      </c>
      <c r="D127" s="27" t="s">
        <v>176</v>
      </c>
      <c r="E127" s="27" t="s">
        <v>177</v>
      </c>
      <c r="F127" s="27" t="s">
        <v>200</v>
      </c>
      <c r="G127" s="27" t="s">
        <v>201</v>
      </c>
      <c r="H127" s="27" t="s">
        <v>187</v>
      </c>
      <c r="I127" s="27" t="s">
        <v>188</v>
      </c>
      <c r="J127" s="27" t="s">
        <v>8</v>
      </c>
      <c r="K127" s="27" t="s">
        <v>8</v>
      </c>
      <c r="L127" s="27" t="s">
        <v>9</v>
      </c>
      <c r="M127" s="27" t="s">
        <v>7</v>
      </c>
      <c r="N127" s="27" t="s">
        <v>7</v>
      </c>
      <c r="O127" s="27" t="s">
        <v>9</v>
      </c>
      <c r="P127" s="27" t="s">
        <v>7</v>
      </c>
      <c r="Q127" s="27" t="s">
        <v>7</v>
      </c>
      <c r="R127" s="27" t="s">
        <v>9</v>
      </c>
      <c r="S127" s="27" t="s">
        <v>8</v>
      </c>
      <c r="T127" s="27" t="s">
        <v>8</v>
      </c>
      <c r="U127" s="27" t="s">
        <v>7</v>
      </c>
      <c r="V127" s="27" t="s">
        <v>7</v>
      </c>
      <c r="W127" s="27" t="s">
        <v>7</v>
      </c>
      <c r="X127" s="27" t="s">
        <v>6</v>
      </c>
      <c r="Y127" s="27" t="s">
        <v>8</v>
      </c>
      <c r="Z127" s="27" t="s">
        <v>8</v>
      </c>
      <c r="AA127" s="27" t="s">
        <v>8</v>
      </c>
      <c r="AB127" s="27" t="s">
        <v>7</v>
      </c>
      <c r="AC127" s="27" t="s">
        <v>8</v>
      </c>
      <c r="AD127" s="27" t="s">
        <v>8</v>
      </c>
      <c r="AE127" s="27" t="s">
        <v>8</v>
      </c>
      <c r="AF127" s="27" t="s">
        <v>7</v>
      </c>
      <c r="AG127" s="27" t="s">
        <v>7</v>
      </c>
      <c r="AH127" s="27" t="s">
        <v>7</v>
      </c>
      <c r="AI127" s="27" t="s">
        <v>7</v>
      </c>
      <c r="AJ127" s="27" t="s">
        <v>7</v>
      </c>
      <c r="AK127" s="27" t="s">
        <v>7</v>
      </c>
      <c r="AL127" s="27" t="s">
        <v>8</v>
      </c>
      <c r="AM127" s="27" t="s">
        <v>7</v>
      </c>
      <c r="AN127" s="27" t="s">
        <v>7</v>
      </c>
      <c r="AO127" s="27" t="s">
        <v>7</v>
      </c>
      <c r="AP127" s="27" t="s">
        <v>7</v>
      </c>
      <c r="AQ127" s="27" t="s">
        <v>6</v>
      </c>
      <c r="AR127" s="27" t="s">
        <v>7</v>
      </c>
      <c r="AS127" s="27" t="s">
        <v>7</v>
      </c>
      <c r="AT127" s="27" t="s">
        <v>6</v>
      </c>
      <c r="AU127" s="27" t="s">
        <v>8</v>
      </c>
      <c r="AV127" s="27">
        <v>9</v>
      </c>
      <c r="AW127" s="27">
        <v>8</v>
      </c>
      <c r="AX127" s="27">
        <v>7</v>
      </c>
      <c r="AY127" s="27">
        <v>10</v>
      </c>
      <c r="AZ127" s="27">
        <v>8</v>
      </c>
      <c r="BA127" s="27">
        <v>9</v>
      </c>
      <c r="BB127" s="27" t="s">
        <v>253</v>
      </c>
      <c r="BC127" s="27" t="s">
        <v>211</v>
      </c>
      <c r="BD127" s="27" t="s">
        <v>251</v>
      </c>
      <c r="BE127" s="27" t="s">
        <v>760</v>
      </c>
      <c r="BF127" s="27" t="s">
        <v>761</v>
      </c>
      <c r="BG127" s="27" t="s">
        <v>762</v>
      </c>
    </row>
    <row r="128" spans="1:59" ht="15.75" customHeight="1" x14ac:dyDescent="0.2">
      <c r="A128" s="27">
        <v>122</v>
      </c>
      <c r="B128" s="28">
        <v>45744.631185358798</v>
      </c>
      <c r="C128" s="28" t="s">
        <v>788</v>
      </c>
      <c r="D128" s="27" t="s">
        <v>184</v>
      </c>
      <c r="E128" s="27" t="s">
        <v>236</v>
      </c>
      <c r="F128" s="27" t="s">
        <v>200</v>
      </c>
      <c r="G128" s="27" t="s">
        <v>201</v>
      </c>
      <c r="H128" s="27" t="s">
        <v>237</v>
      </c>
      <c r="I128" s="27" t="s">
        <v>194</v>
      </c>
      <c r="J128" s="27" t="s">
        <v>8</v>
      </c>
      <c r="K128" s="27" t="s">
        <v>8</v>
      </c>
      <c r="L128" s="27" t="s">
        <v>9</v>
      </c>
      <c r="M128" s="27" t="s">
        <v>9</v>
      </c>
      <c r="N128" s="27" t="s">
        <v>9</v>
      </c>
      <c r="O128" s="27" t="s">
        <v>9</v>
      </c>
      <c r="P128" s="27" t="s">
        <v>9</v>
      </c>
      <c r="Q128" s="27" t="s">
        <v>9</v>
      </c>
      <c r="R128" s="27" t="s">
        <v>9</v>
      </c>
      <c r="S128" s="27" t="s">
        <v>9</v>
      </c>
      <c r="T128" s="27" t="s">
        <v>9</v>
      </c>
      <c r="U128" s="27" t="s">
        <v>8</v>
      </c>
      <c r="V128" s="27" t="s">
        <v>8</v>
      </c>
      <c r="W128" s="27" t="s">
        <v>8</v>
      </c>
      <c r="X128" s="27" t="s">
        <v>8</v>
      </c>
      <c r="Y128" s="27" t="s">
        <v>8</v>
      </c>
      <c r="Z128" s="27" t="s">
        <v>8</v>
      </c>
      <c r="AA128" s="27" t="s">
        <v>8</v>
      </c>
      <c r="AB128" s="27" t="s">
        <v>8</v>
      </c>
      <c r="AC128" s="27" t="s">
        <v>9</v>
      </c>
      <c r="AD128" s="27" t="s">
        <v>8</v>
      </c>
      <c r="AE128" s="27" t="s">
        <v>8</v>
      </c>
      <c r="AF128" s="27" t="s">
        <v>8</v>
      </c>
      <c r="AG128" s="27" t="s">
        <v>7</v>
      </c>
      <c r="AH128" s="27" t="s">
        <v>7</v>
      </c>
      <c r="AI128" s="27" t="s">
        <v>7</v>
      </c>
      <c r="AJ128" s="27" t="s">
        <v>9</v>
      </c>
      <c r="AK128" s="27" t="s">
        <v>9</v>
      </c>
      <c r="AL128" s="27" t="s">
        <v>8</v>
      </c>
      <c r="AM128" s="27" t="s">
        <v>8</v>
      </c>
      <c r="AN128" s="27" t="s">
        <v>8</v>
      </c>
      <c r="AO128" s="27" t="s">
        <v>8</v>
      </c>
      <c r="AP128" s="27" t="s">
        <v>9</v>
      </c>
      <c r="AQ128" s="27" t="s">
        <v>8</v>
      </c>
      <c r="AR128" s="27" t="s">
        <v>9</v>
      </c>
      <c r="AS128" s="27" t="s">
        <v>8</v>
      </c>
      <c r="AT128" s="27" t="s">
        <v>8</v>
      </c>
      <c r="AU128" s="27" t="s">
        <v>8</v>
      </c>
      <c r="AV128" s="27">
        <v>9</v>
      </c>
      <c r="AW128" s="27">
        <v>9</v>
      </c>
      <c r="AX128" s="27">
        <v>8</v>
      </c>
      <c r="AY128" s="27">
        <v>9</v>
      </c>
      <c r="AZ128" s="27">
        <v>9</v>
      </c>
      <c r="BA128" s="27">
        <v>9</v>
      </c>
      <c r="BB128" s="27" t="s">
        <v>439</v>
      </c>
      <c r="BC128" s="27" t="s">
        <v>214</v>
      </c>
      <c r="BD128" s="27" t="s">
        <v>440</v>
      </c>
      <c r="BE128" s="27" t="s">
        <v>763</v>
      </c>
      <c r="BF128" s="27" t="s">
        <v>764</v>
      </c>
      <c r="BG128" s="27" t="s">
        <v>765</v>
      </c>
    </row>
    <row r="129" spans="1:59" ht="15.75" customHeight="1" x14ac:dyDescent="0.2">
      <c r="A129" s="27">
        <v>123</v>
      </c>
      <c r="B129" s="28">
        <v>45744.668669247687</v>
      </c>
      <c r="C129" s="28" t="s">
        <v>790</v>
      </c>
      <c r="D129" s="27" t="s">
        <v>212</v>
      </c>
      <c r="E129" s="27" t="s">
        <v>217</v>
      </c>
      <c r="F129" s="27" t="s">
        <v>205</v>
      </c>
      <c r="G129" s="27" t="s">
        <v>201</v>
      </c>
      <c r="H129" s="27" t="s">
        <v>223</v>
      </c>
      <c r="I129" s="27" t="s">
        <v>198</v>
      </c>
      <c r="J129" s="27" t="s">
        <v>8</v>
      </c>
      <c r="K129" s="27" t="s">
        <v>8</v>
      </c>
      <c r="L129" s="27" t="s">
        <v>9</v>
      </c>
      <c r="M129" s="27" t="s">
        <v>9</v>
      </c>
      <c r="N129" s="27" t="s">
        <v>9</v>
      </c>
      <c r="O129" s="27" t="s">
        <v>9</v>
      </c>
      <c r="P129" s="27" t="s">
        <v>9</v>
      </c>
      <c r="Q129" s="27" t="s">
        <v>9</v>
      </c>
      <c r="R129" s="27" t="s">
        <v>9</v>
      </c>
      <c r="S129" s="27" t="s">
        <v>9</v>
      </c>
      <c r="T129" s="27" t="s">
        <v>9</v>
      </c>
      <c r="U129" s="27" t="s">
        <v>9</v>
      </c>
      <c r="V129" s="27" t="s">
        <v>7</v>
      </c>
      <c r="W129" s="27" t="s">
        <v>9</v>
      </c>
      <c r="X129" s="27" t="s">
        <v>9</v>
      </c>
      <c r="Y129" s="27" t="s">
        <v>8</v>
      </c>
      <c r="Z129" s="27" t="s">
        <v>9</v>
      </c>
      <c r="AA129" s="27" t="s">
        <v>9</v>
      </c>
      <c r="AB129" s="27" t="s">
        <v>8</v>
      </c>
      <c r="AC129" s="27" t="s">
        <v>8</v>
      </c>
      <c r="AD129" s="27" t="s">
        <v>8</v>
      </c>
      <c r="AE129" s="27" t="s">
        <v>9</v>
      </c>
      <c r="AF129" s="27" t="s">
        <v>9</v>
      </c>
      <c r="AG129" s="27" t="s">
        <v>9</v>
      </c>
      <c r="AH129" s="27" t="s">
        <v>8</v>
      </c>
      <c r="AI129" s="27" t="s">
        <v>8</v>
      </c>
      <c r="AJ129" s="27" t="s">
        <v>8</v>
      </c>
      <c r="AK129" s="27" t="s">
        <v>9</v>
      </c>
      <c r="AL129" s="27" t="s">
        <v>9</v>
      </c>
      <c r="AM129" s="27" t="s">
        <v>9</v>
      </c>
      <c r="AN129" s="27" t="s">
        <v>9</v>
      </c>
      <c r="AO129" s="27" t="s">
        <v>9</v>
      </c>
      <c r="AP129" s="27" t="s">
        <v>9</v>
      </c>
      <c r="AQ129" s="27" t="s">
        <v>9</v>
      </c>
      <c r="AR129" s="27" t="s">
        <v>9</v>
      </c>
      <c r="AS129" s="27" t="s">
        <v>9</v>
      </c>
      <c r="AT129" s="27" t="s">
        <v>9</v>
      </c>
      <c r="AU129" s="27" t="s">
        <v>9</v>
      </c>
      <c r="AV129" s="27">
        <v>8</v>
      </c>
      <c r="AW129" s="27">
        <v>8</v>
      </c>
      <c r="AX129" s="27">
        <v>9</v>
      </c>
      <c r="AY129" s="27">
        <v>8</v>
      </c>
      <c r="AZ129" s="27">
        <v>9</v>
      </c>
      <c r="BA129" s="27">
        <v>9</v>
      </c>
      <c r="BB129" s="27" t="s">
        <v>189</v>
      </c>
      <c r="BC129" s="27" t="s">
        <v>182</v>
      </c>
      <c r="BD129" s="27" t="s">
        <v>221</v>
      </c>
      <c r="BE129" s="27" t="s">
        <v>766</v>
      </c>
      <c r="BF129" s="27" t="s">
        <v>767</v>
      </c>
      <c r="BG129" s="27" t="s">
        <v>768</v>
      </c>
    </row>
    <row r="130" spans="1:59" ht="15.75" customHeight="1" x14ac:dyDescent="0.2">
      <c r="A130" s="27">
        <v>124</v>
      </c>
      <c r="B130" s="28">
        <v>45744.763004062501</v>
      </c>
      <c r="C130" s="28" t="s">
        <v>788</v>
      </c>
      <c r="D130" s="27" t="s">
        <v>216</v>
      </c>
      <c r="E130" s="27" t="s">
        <v>217</v>
      </c>
      <c r="F130" s="27" t="s">
        <v>200</v>
      </c>
      <c r="G130" s="27" t="s">
        <v>201</v>
      </c>
      <c r="H130" s="27" t="s">
        <v>187</v>
      </c>
      <c r="I130" s="27" t="s">
        <v>208</v>
      </c>
      <c r="J130" s="27" t="s">
        <v>7</v>
      </c>
      <c r="K130" s="27" t="s">
        <v>8</v>
      </c>
      <c r="L130" s="27" t="s">
        <v>9</v>
      </c>
      <c r="M130" s="27" t="s">
        <v>9</v>
      </c>
      <c r="N130" s="27" t="s">
        <v>9</v>
      </c>
      <c r="O130" s="27" t="s">
        <v>9</v>
      </c>
      <c r="P130" s="27" t="s">
        <v>8</v>
      </c>
      <c r="Q130" s="27" t="s">
        <v>9</v>
      </c>
      <c r="R130" s="27" t="s">
        <v>7</v>
      </c>
      <c r="S130" s="27" t="s">
        <v>8</v>
      </c>
      <c r="T130" s="27" t="s">
        <v>9</v>
      </c>
      <c r="U130" s="27" t="s">
        <v>8</v>
      </c>
      <c r="V130" s="27" t="s">
        <v>7</v>
      </c>
      <c r="W130" s="27" t="s">
        <v>8</v>
      </c>
      <c r="X130" s="27" t="s">
        <v>6</v>
      </c>
      <c r="Y130" s="27" t="s">
        <v>6</v>
      </c>
      <c r="Z130" s="27" t="s">
        <v>9</v>
      </c>
      <c r="AA130" s="27" t="s">
        <v>9</v>
      </c>
      <c r="AB130" s="27" t="s">
        <v>7</v>
      </c>
      <c r="AC130" s="27" t="s">
        <v>8</v>
      </c>
      <c r="AD130" s="27" t="s">
        <v>9</v>
      </c>
      <c r="AE130" s="27" t="s">
        <v>9</v>
      </c>
      <c r="AF130" s="27" t="s">
        <v>9</v>
      </c>
      <c r="AG130" s="27" t="s">
        <v>8</v>
      </c>
      <c r="AH130" s="27" t="s">
        <v>7</v>
      </c>
      <c r="AI130" s="27" t="s">
        <v>6</v>
      </c>
      <c r="AJ130" s="27" t="s">
        <v>8</v>
      </c>
      <c r="AK130" s="27" t="s">
        <v>8</v>
      </c>
      <c r="AL130" s="27" t="s">
        <v>9</v>
      </c>
      <c r="AM130" s="27" t="s">
        <v>9</v>
      </c>
      <c r="AN130" s="27" t="s">
        <v>8</v>
      </c>
      <c r="AO130" s="27" t="s">
        <v>6</v>
      </c>
      <c r="AP130" s="27" t="s">
        <v>9</v>
      </c>
      <c r="AQ130" s="27" t="s">
        <v>6</v>
      </c>
      <c r="AR130" s="27" t="s">
        <v>8</v>
      </c>
      <c r="AS130" s="27" t="s">
        <v>9</v>
      </c>
      <c r="AT130" s="27" t="s">
        <v>8</v>
      </c>
      <c r="AU130" s="27" t="s">
        <v>8</v>
      </c>
      <c r="AV130" s="27">
        <v>8</v>
      </c>
      <c r="AW130" s="27">
        <v>9</v>
      </c>
      <c r="AX130" s="27">
        <v>9</v>
      </c>
      <c r="AY130" s="27">
        <v>9</v>
      </c>
      <c r="AZ130" s="27">
        <v>4</v>
      </c>
      <c r="BA130" s="27">
        <v>9</v>
      </c>
      <c r="BB130" s="27" t="s">
        <v>441</v>
      </c>
      <c r="BC130" s="27" t="s">
        <v>214</v>
      </c>
      <c r="BD130" s="27" t="s">
        <v>183</v>
      </c>
      <c r="BE130" s="27" t="s">
        <v>769</v>
      </c>
      <c r="BF130" s="27" t="s">
        <v>770</v>
      </c>
      <c r="BG130" s="27" t="s">
        <v>771</v>
      </c>
    </row>
    <row r="131" spans="1:59" ht="15.75" customHeight="1" x14ac:dyDescent="0.2">
      <c r="A131" s="27">
        <v>125</v>
      </c>
      <c r="B131" s="28">
        <v>45744.888496874999</v>
      </c>
      <c r="C131" s="28" t="s">
        <v>792</v>
      </c>
      <c r="D131" s="27" t="s">
        <v>216</v>
      </c>
      <c r="E131" s="27" t="s">
        <v>329</v>
      </c>
      <c r="F131" s="27" t="s">
        <v>200</v>
      </c>
      <c r="G131" s="27" t="s">
        <v>179</v>
      </c>
      <c r="H131" s="27" t="s">
        <v>180</v>
      </c>
      <c r="I131" s="27" t="s">
        <v>188</v>
      </c>
      <c r="J131" s="27" t="s">
        <v>7</v>
      </c>
      <c r="K131" s="27" t="s">
        <v>7</v>
      </c>
      <c r="L131" s="27" t="s">
        <v>8</v>
      </c>
      <c r="M131" s="27" t="s">
        <v>8</v>
      </c>
      <c r="N131" s="27" t="s">
        <v>7</v>
      </c>
      <c r="O131" s="27" t="s">
        <v>8</v>
      </c>
      <c r="P131" s="27" t="s">
        <v>7</v>
      </c>
      <c r="Q131" s="27" t="s">
        <v>7</v>
      </c>
      <c r="R131" s="27" t="s">
        <v>8</v>
      </c>
      <c r="S131" s="27" t="s">
        <v>7</v>
      </c>
      <c r="T131" s="27" t="s">
        <v>8</v>
      </c>
      <c r="U131" s="27" t="s">
        <v>7</v>
      </c>
      <c r="V131" s="27" t="s">
        <v>7</v>
      </c>
      <c r="W131" s="27" t="s">
        <v>5</v>
      </c>
      <c r="X131" s="27" t="s">
        <v>6</v>
      </c>
      <c r="Y131" s="27" t="s">
        <v>6</v>
      </c>
      <c r="Z131" s="27" t="s">
        <v>7</v>
      </c>
      <c r="AA131" s="27" t="s">
        <v>7</v>
      </c>
      <c r="AB131" s="27" t="s">
        <v>7</v>
      </c>
      <c r="AC131" s="27" t="s">
        <v>8</v>
      </c>
      <c r="AD131" s="27" t="s">
        <v>8</v>
      </c>
      <c r="AE131" s="27" t="s">
        <v>8</v>
      </c>
      <c r="AF131" s="27" t="s">
        <v>8</v>
      </c>
      <c r="AG131" s="27" t="s">
        <v>6</v>
      </c>
      <c r="AH131" s="27" t="s">
        <v>6</v>
      </c>
      <c r="AI131" s="27" t="s">
        <v>6</v>
      </c>
      <c r="AJ131" s="27" t="s">
        <v>7</v>
      </c>
      <c r="AK131" s="27" t="s">
        <v>8</v>
      </c>
      <c r="AL131" s="27" t="s">
        <v>7</v>
      </c>
      <c r="AM131" s="27" t="s">
        <v>7</v>
      </c>
      <c r="AN131" s="27" t="s">
        <v>6</v>
      </c>
      <c r="AO131" s="27" t="s">
        <v>7</v>
      </c>
      <c r="AP131" s="27" t="s">
        <v>8</v>
      </c>
      <c r="AQ131" s="27" t="s">
        <v>6</v>
      </c>
      <c r="AR131" s="27" t="s">
        <v>8</v>
      </c>
      <c r="AS131" s="27" t="s">
        <v>7</v>
      </c>
      <c r="AT131" s="27" t="s">
        <v>7</v>
      </c>
      <c r="AU131" s="27" t="s">
        <v>8</v>
      </c>
      <c r="AV131" s="27">
        <v>6</v>
      </c>
      <c r="AW131" s="27">
        <v>6</v>
      </c>
      <c r="AX131" s="27">
        <v>7</v>
      </c>
      <c r="AY131" s="27">
        <v>7</v>
      </c>
      <c r="AZ131" s="27">
        <v>5</v>
      </c>
      <c r="BA131" s="27">
        <v>7</v>
      </c>
      <c r="BB131" s="27" t="s">
        <v>232</v>
      </c>
      <c r="BC131" s="27" t="s">
        <v>190</v>
      </c>
      <c r="BD131" s="27" t="s">
        <v>235</v>
      </c>
      <c r="BE131" s="27" t="s">
        <v>772</v>
      </c>
      <c r="BF131" s="27" t="s">
        <v>773</v>
      </c>
      <c r="BG131" s="27" t="s">
        <v>774</v>
      </c>
    </row>
    <row r="132" spans="1:59" ht="15.75" customHeight="1" x14ac:dyDescent="0.2">
      <c r="A132" s="27">
        <v>126</v>
      </c>
      <c r="B132" s="28">
        <v>45747.464326527777</v>
      </c>
      <c r="C132" s="28" t="s">
        <v>790</v>
      </c>
      <c r="D132" s="27" t="s">
        <v>176</v>
      </c>
      <c r="E132" s="27" t="s">
        <v>193</v>
      </c>
      <c r="F132" s="27" t="s">
        <v>178</v>
      </c>
      <c r="G132" s="27" t="s">
        <v>201</v>
      </c>
      <c r="H132" s="27" t="s">
        <v>223</v>
      </c>
      <c r="I132" s="27" t="s">
        <v>194</v>
      </c>
      <c r="J132" s="27" t="s">
        <v>9</v>
      </c>
      <c r="K132" s="27" t="s">
        <v>9</v>
      </c>
      <c r="L132" s="27" t="s">
        <v>9</v>
      </c>
      <c r="M132" s="27" t="s">
        <v>8</v>
      </c>
      <c r="N132" s="27" t="s">
        <v>9</v>
      </c>
      <c r="O132" s="27" t="s">
        <v>8</v>
      </c>
      <c r="P132" s="27" t="s">
        <v>9</v>
      </c>
      <c r="Q132" s="27" t="s">
        <v>9</v>
      </c>
      <c r="R132" s="27" t="s">
        <v>9</v>
      </c>
      <c r="S132" s="27" t="s">
        <v>9</v>
      </c>
      <c r="T132" s="27" t="s">
        <v>8</v>
      </c>
      <c r="U132" s="27" t="s">
        <v>9</v>
      </c>
      <c r="V132" s="27" t="s">
        <v>8</v>
      </c>
      <c r="W132" s="27" t="s">
        <v>7</v>
      </c>
      <c r="X132" s="27" t="s">
        <v>7</v>
      </c>
      <c r="Y132" s="27" t="s">
        <v>7</v>
      </c>
      <c r="Z132" s="27" t="s">
        <v>8</v>
      </c>
      <c r="AA132" s="27" t="s">
        <v>9</v>
      </c>
      <c r="AB132" s="27" t="s">
        <v>9</v>
      </c>
      <c r="AC132" s="27" t="s">
        <v>9</v>
      </c>
      <c r="AD132" s="27" t="s">
        <v>9</v>
      </c>
      <c r="AE132" s="27" t="s">
        <v>9</v>
      </c>
      <c r="AF132" s="27" t="s">
        <v>8</v>
      </c>
      <c r="AG132" s="27" t="s">
        <v>8</v>
      </c>
      <c r="AH132" s="27" t="s">
        <v>9</v>
      </c>
      <c r="AI132" s="27" t="s">
        <v>8</v>
      </c>
      <c r="AJ132" s="27" t="s">
        <v>7</v>
      </c>
      <c r="AK132" s="27" t="s">
        <v>8</v>
      </c>
      <c r="AL132" s="27" t="s">
        <v>9</v>
      </c>
      <c r="AM132" s="27" t="s">
        <v>8</v>
      </c>
      <c r="AN132" s="27" t="s">
        <v>9</v>
      </c>
      <c r="AO132" s="27" t="s">
        <v>7</v>
      </c>
      <c r="AP132" s="27" t="s">
        <v>9</v>
      </c>
      <c r="AQ132" s="27" t="s">
        <v>8</v>
      </c>
      <c r="AR132" s="27" t="s">
        <v>9</v>
      </c>
      <c r="AS132" s="27" t="s">
        <v>9</v>
      </c>
      <c r="AT132" s="27" t="s">
        <v>8</v>
      </c>
      <c r="AU132" s="27" t="s">
        <v>7</v>
      </c>
      <c r="AV132" s="27">
        <v>5</v>
      </c>
      <c r="AW132" s="27">
        <v>5</v>
      </c>
      <c r="AX132" s="27">
        <v>7</v>
      </c>
      <c r="AY132" s="27">
        <v>6</v>
      </c>
      <c r="AZ132" s="27">
        <v>8</v>
      </c>
      <c r="BA132" s="27">
        <v>7</v>
      </c>
      <c r="BB132" s="27" t="s">
        <v>209</v>
      </c>
      <c r="BC132" s="27" t="s">
        <v>195</v>
      </c>
      <c r="BD132" s="27" t="s">
        <v>207</v>
      </c>
      <c r="BE132" s="27" t="s">
        <v>775</v>
      </c>
      <c r="BF132" s="27" t="s">
        <v>776</v>
      </c>
      <c r="BG132" s="27" t="s">
        <v>777</v>
      </c>
    </row>
    <row r="133" spans="1:59" ht="15.75" customHeight="1" x14ac:dyDescent="0.2">
      <c r="A133" s="27">
        <v>127</v>
      </c>
      <c r="B133" s="28">
        <v>45747.464496446759</v>
      </c>
      <c r="C133" s="28" t="s">
        <v>790</v>
      </c>
      <c r="D133" s="27" t="s">
        <v>325</v>
      </c>
      <c r="E133" s="27" t="s">
        <v>177</v>
      </c>
      <c r="F133" s="27" t="s">
        <v>200</v>
      </c>
      <c r="G133" s="27" t="s">
        <v>201</v>
      </c>
      <c r="H133" s="27" t="s">
        <v>187</v>
      </c>
      <c r="I133" s="27" t="s">
        <v>208</v>
      </c>
      <c r="J133" s="27" t="s">
        <v>9</v>
      </c>
      <c r="K133" s="27" t="s">
        <v>9</v>
      </c>
      <c r="L133" s="27" t="s">
        <v>9</v>
      </c>
      <c r="M133" s="27" t="s">
        <v>9</v>
      </c>
      <c r="N133" s="27" t="s">
        <v>9</v>
      </c>
      <c r="O133" s="27" t="s">
        <v>9</v>
      </c>
      <c r="P133" s="27" t="s">
        <v>9</v>
      </c>
      <c r="Q133" s="27" t="s">
        <v>9</v>
      </c>
      <c r="R133" s="27" t="s">
        <v>9</v>
      </c>
      <c r="S133" s="27" t="s">
        <v>9</v>
      </c>
      <c r="T133" s="27" t="s">
        <v>9</v>
      </c>
      <c r="U133" s="27" t="s">
        <v>9</v>
      </c>
      <c r="V133" s="27" t="s">
        <v>9</v>
      </c>
      <c r="W133" s="27" t="s">
        <v>9</v>
      </c>
      <c r="X133" s="27" t="s">
        <v>9</v>
      </c>
      <c r="Y133" s="27" t="s">
        <v>9</v>
      </c>
      <c r="Z133" s="27" t="s">
        <v>9</v>
      </c>
      <c r="AA133" s="27" t="s">
        <v>9</v>
      </c>
      <c r="AB133" s="27" t="s">
        <v>9</v>
      </c>
      <c r="AC133" s="27" t="s">
        <v>9</v>
      </c>
      <c r="AD133" s="27" t="s">
        <v>9</v>
      </c>
      <c r="AE133" s="27" t="s">
        <v>9</v>
      </c>
      <c r="AF133" s="27" t="s">
        <v>9</v>
      </c>
      <c r="AG133" s="27" t="s">
        <v>9</v>
      </c>
      <c r="AH133" s="27" t="s">
        <v>9</v>
      </c>
      <c r="AI133" s="27" t="s">
        <v>9</v>
      </c>
      <c r="AJ133" s="27" t="s">
        <v>9</v>
      </c>
      <c r="AK133" s="27" t="s">
        <v>9</v>
      </c>
      <c r="AL133" s="27" t="s">
        <v>9</v>
      </c>
      <c r="AM133" s="27" t="s">
        <v>9</v>
      </c>
      <c r="AN133" s="27" t="s">
        <v>9</v>
      </c>
      <c r="AO133" s="27" t="s">
        <v>9</v>
      </c>
      <c r="AP133" s="27" t="s">
        <v>9</v>
      </c>
      <c r="AQ133" s="27" t="s">
        <v>9</v>
      </c>
      <c r="AR133" s="27" t="s">
        <v>9</v>
      </c>
      <c r="AS133" s="27" t="s">
        <v>9</v>
      </c>
      <c r="AT133" s="27" t="s">
        <v>9</v>
      </c>
      <c r="AU133" s="27" t="s">
        <v>9</v>
      </c>
      <c r="AV133" s="27">
        <v>9</v>
      </c>
      <c r="AW133" s="27">
        <v>9</v>
      </c>
      <c r="AX133" s="27">
        <v>9</v>
      </c>
      <c r="AY133" s="27">
        <v>9</v>
      </c>
      <c r="AZ133" s="27">
        <v>8</v>
      </c>
      <c r="BA133" s="27">
        <v>7</v>
      </c>
      <c r="BB133" s="27" t="s">
        <v>206</v>
      </c>
      <c r="BC133" s="27" t="s">
        <v>225</v>
      </c>
      <c r="BD133" s="27" t="s">
        <v>183</v>
      </c>
      <c r="BE133" s="27" t="s">
        <v>229</v>
      </c>
      <c r="BF133" s="27" t="s">
        <v>778</v>
      </c>
      <c r="BG133" s="27" t="s">
        <v>192</v>
      </c>
    </row>
    <row r="134" spans="1:59" ht="15.75" customHeight="1" x14ac:dyDescent="0.2">
      <c r="A134" s="27">
        <v>128</v>
      </c>
      <c r="B134" s="28">
        <v>45747.464838530097</v>
      </c>
      <c r="C134" s="28" t="s">
        <v>788</v>
      </c>
      <c r="D134" s="27" t="s">
        <v>256</v>
      </c>
      <c r="E134" s="27" t="s">
        <v>241</v>
      </c>
      <c r="F134" s="27" t="s">
        <v>200</v>
      </c>
      <c r="G134" s="27" t="s">
        <v>179</v>
      </c>
      <c r="H134" s="27" t="s">
        <v>180</v>
      </c>
      <c r="I134" s="27" t="s">
        <v>181</v>
      </c>
      <c r="J134" s="27" t="s">
        <v>9</v>
      </c>
      <c r="K134" s="27" t="s">
        <v>9</v>
      </c>
      <c r="L134" s="27" t="s">
        <v>9</v>
      </c>
      <c r="M134" s="27" t="s">
        <v>9</v>
      </c>
      <c r="N134" s="27" t="s">
        <v>9</v>
      </c>
      <c r="O134" s="27" t="s">
        <v>9</v>
      </c>
      <c r="P134" s="27" t="s">
        <v>9</v>
      </c>
      <c r="Q134" s="27" t="s">
        <v>9</v>
      </c>
      <c r="R134" s="27" t="s">
        <v>9</v>
      </c>
      <c r="S134" s="27" t="s">
        <v>9</v>
      </c>
      <c r="T134" s="27" t="s">
        <v>9</v>
      </c>
      <c r="U134" s="27" t="s">
        <v>9</v>
      </c>
      <c r="V134" s="27" t="s">
        <v>9</v>
      </c>
      <c r="W134" s="27" t="s">
        <v>9</v>
      </c>
      <c r="X134" s="27" t="s">
        <v>9</v>
      </c>
      <c r="Y134" s="27" t="s">
        <v>9</v>
      </c>
      <c r="Z134" s="27" t="s">
        <v>9</v>
      </c>
      <c r="AA134" s="27" t="s">
        <v>9</v>
      </c>
      <c r="AB134" s="27" t="s">
        <v>9</v>
      </c>
      <c r="AC134" s="27" t="s">
        <v>9</v>
      </c>
      <c r="AD134" s="27" t="s">
        <v>9</v>
      </c>
      <c r="AE134" s="27" t="s">
        <v>9</v>
      </c>
      <c r="AF134" s="27" t="s">
        <v>9</v>
      </c>
      <c r="AG134" s="27" t="s">
        <v>9</v>
      </c>
      <c r="AH134" s="27" t="s">
        <v>8</v>
      </c>
      <c r="AI134" s="27" t="s">
        <v>8</v>
      </c>
      <c r="AJ134" s="27" t="s">
        <v>9</v>
      </c>
      <c r="AK134" s="27" t="s">
        <v>9</v>
      </c>
      <c r="AL134" s="27" t="s">
        <v>9</v>
      </c>
      <c r="AM134" s="27" t="s">
        <v>9</v>
      </c>
      <c r="AN134" s="27" t="s">
        <v>8</v>
      </c>
      <c r="AO134" s="27" t="s">
        <v>7</v>
      </c>
      <c r="AP134" s="27" t="s">
        <v>9</v>
      </c>
      <c r="AQ134" s="27" t="s">
        <v>8</v>
      </c>
      <c r="AR134" s="27" t="s">
        <v>9</v>
      </c>
      <c r="AS134" s="27" t="s">
        <v>8</v>
      </c>
      <c r="AT134" s="27" t="s">
        <v>8</v>
      </c>
      <c r="AU134" s="27" t="s">
        <v>8</v>
      </c>
      <c r="AV134" s="27">
        <v>9</v>
      </c>
      <c r="AW134" s="27">
        <v>10</v>
      </c>
      <c r="AX134" s="27">
        <v>10</v>
      </c>
      <c r="AY134" s="27">
        <v>9</v>
      </c>
      <c r="AZ134" s="27">
        <v>10</v>
      </c>
      <c r="BA134" s="27">
        <v>10</v>
      </c>
      <c r="BB134" s="27" t="s">
        <v>206</v>
      </c>
      <c r="BC134" s="27" t="s">
        <v>190</v>
      </c>
      <c r="BD134" s="27" t="s">
        <v>207</v>
      </c>
      <c r="BE134" s="27" t="s">
        <v>779</v>
      </c>
      <c r="BF134" s="27" t="s">
        <v>780</v>
      </c>
      <c r="BG134" s="27" t="s">
        <v>781</v>
      </c>
    </row>
    <row r="135" spans="1:59" ht="15.75" customHeight="1" x14ac:dyDescent="0.2">
      <c r="A135" s="27">
        <v>129</v>
      </c>
      <c r="B135" s="28">
        <v>45747.480713101853</v>
      </c>
      <c r="C135" s="28" t="s">
        <v>792</v>
      </c>
      <c r="D135" s="27" t="s">
        <v>265</v>
      </c>
      <c r="E135" s="27" t="s">
        <v>236</v>
      </c>
      <c r="F135" s="27" t="s">
        <v>200</v>
      </c>
      <c r="G135" s="27" t="s">
        <v>201</v>
      </c>
      <c r="H135" s="27" t="s">
        <v>187</v>
      </c>
      <c r="I135" s="27" t="s">
        <v>194</v>
      </c>
      <c r="J135" s="27" t="s">
        <v>8</v>
      </c>
      <c r="K135" s="27" t="s">
        <v>8</v>
      </c>
      <c r="L135" s="27" t="s">
        <v>9</v>
      </c>
      <c r="M135" s="27" t="s">
        <v>9</v>
      </c>
      <c r="N135" s="27" t="s">
        <v>9</v>
      </c>
      <c r="O135" s="27" t="s">
        <v>9</v>
      </c>
      <c r="P135" s="27" t="s">
        <v>7</v>
      </c>
      <c r="Q135" s="27" t="s">
        <v>7</v>
      </c>
      <c r="R135" s="27" t="s">
        <v>9</v>
      </c>
      <c r="S135" s="27" t="s">
        <v>7</v>
      </c>
      <c r="T135" s="27" t="s">
        <v>7</v>
      </c>
      <c r="U135" s="27" t="s">
        <v>8</v>
      </c>
      <c r="V135" s="27" t="s">
        <v>8</v>
      </c>
      <c r="W135" s="27" t="s">
        <v>8</v>
      </c>
      <c r="X135" s="27" t="s">
        <v>6</v>
      </c>
      <c r="Y135" s="27" t="s">
        <v>8</v>
      </c>
      <c r="Z135" s="27" t="s">
        <v>7</v>
      </c>
      <c r="AA135" s="27" t="s">
        <v>7</v>
      </c>
      <c r="AB135" s="27" t="s">
        <v>7</v>
      </c>
      <c r="AC135" s="27" t="s">
        <v>8</v>
      </c>
      <c r="AD135" s="27" t="s">
        <v>8</v>
      </c>
      <c r="AE135" s="27" t="s">
        <v>9</v>
      </c>
      <c r="AF135" s="27" t="s">
        <v>9</v>
      </c>
      <c r="AG135" s="27" t="s">
        <v>7</v>
      </c>
      <c r="AH135" s="27" t="s">
        <v>7</v>
      </c>
      <c r="AI135" s="27" t="s">
        <v>6</v>
      </c>
      <c r="AJ135" s="27" t="s">
        <v>8</v>
      </c>
      <c r="AK135" s="27" t="s">
        <v>8</v>
      </c>
      <c r="AL135" s="27" t="s">
        <v>9</v>
      </c>
      <c r="AM135" s="27" t="s">
        <v>7</v>
      </c>
      <c r="AN135" s="27" t="s">
        <v>7</v>
      </c>
      <c r="AO135" s="27" t="s">
        <v>7</v>
      </c>
      <c r="AP135" s="27" t="s">
        <v>8</v>
      </c>
      <c r="AQ135" s="27" t="s">
        <v>7</v>
      </c>
      <c r="AR135" s="27" t="s">
        <v>7</v>
      </c>
      <c r="AS135" s="27" t="s">
        <v>7</v>
      </c>
      <c r="AT135" s="27" t="s">
        <v>7</v>
      </c>
      <c r="AU135" s="27" t="s">
        <v>6</v>
      </c>
      <c r="AV135" s="27">
        <v>7</v>
      </c>
      <c r="AW135" s="27">
        <v>5</v>
      </c>
      <c r="AX135" s="27">
        <v>9</v>
      </c>
      <c r="AY135" s="27">
        <v>5</v>
      </c>
      <c r="AZ135" s="27">
        <v>8</v>
      </c>
      <c r="BA135" s="27">
        <v>8</v>
      </c>
      <c r="BB135" s="27" t="s">
        <v>232</v>
      </c>
      <c r="BC135" s="27" t="s">
        <v>182</v>
      </c>
      <c r="BD135" s="27" t="s">
        <v>210</v>
      </c>
      <c r="BE135" s="27" t="s">
        <v>782</v>
      </c>
      <c r="BF135" s="27" t="s">
        <v>783</v>
      </c>
      <c r="BG135" s="27" t="s">
        <v>784</v>
      </c>
    </row>
    <row r="136" spans="1:59" ht="15.75" customHeight="1" x14ac:dyDescent="0.2">
      <c r="A136" s="27">
        <v>130</v>
      </c>
      <c r="B136" s="28">
        <v>45747.489402060186</v>
      </c>
      <c r="C136" s="28" t="s">
        <v>788</v>
      </c>
      <c r="D136" s="27" t="s">
        <v>176</v>
      </c>
      <c r="E136" s="27" t="s">
        <v>177</v>
      </c>
      <c r="F136" s="27" t="s">
        <v>200</v>
      </c>
      <c r="G136" s="27" t="s">
        <v>179</v>
      </c>
      <c r="H136" s="27" t="s">
        <v>180</v>
      </c>
      <c r="I136" s="27" t="s">
        <v>181</v>
      </c>
      <c r="J136" s="27" t="s">
        <v>9</v>
      </c>
      <c r="K136" s="27" t="s">
        <v>9</v>
      </c>
      <c r="L136" s="27" t="s">
        <v>9</v>
      </c>
      <c r="M136" s="27" t="s">
        <v>8</v>
      </c>
      <c r="N136" s="27" t="s">
        <v>8</v>
      </c>
      <c r="O136" s="27" t="s">
        <v>9</v>
      </c>
      <c r="P136" s="27" t="s">
        <v>8</v>
      </c>
      <c r="Q136" s="27" t="s">
        <v>5</v>
      </c>
      <c r="R136" s="27" t="s">
        <v>9</v>
      </c>
      <c r="S136" s="27" t="s">
        <v>7</v>
      </c>
      <c r="T136" s="27" t="s">
        <v>8</v>
      </c>
      <c r="U136" s="27" t="s">
        <v>8</v>
      </c>
      <c r="V136" s="27" t="s">
        <v>5</v>
      </c>
      <c r="W136" s="27" t="s">
        <v>9</v>
      </c>
      <c r="X136" s="27" t="s">
        <v>9</v>
      </c>
      <c r="Y136" s="27" t="s">
        <v>5</v>
      </c>
      <c r="Z136" s="27" t="s">
        <v>5</v>
      </c>
      <c r="AA136" s="27" t="s">
        <v>7</v>
      </c>
      <c r="AB136" s="27" t="s">
        <v>9</v>
      </c>
      <c r="AC136" s="27" t="s">
        <v>8</v>
      </c>
      <c r="AD136" s="27" t="s">
        <v>9</v>
      </c>
      <c r="AE136" s="27" t="s">
        <v>9</v>
      </c>
      <c r="AF136" s="27" t="s">
        <v>8</v>
      </c>
      <c r="AG136" s="27" t="s">
        <v>8</v>
      </c>
      <c r="AH136" s="27" t="s">
        <v>8</v>
      </c>
      <c r="AI136" s="27" t="s">
        <v>8</v>
      </c>
      <c r="AJ136" s="27" t="s">
        <v>9</v>
      </c>
      <c r="AK136" s="27" t="s">
        <v>9</v>
      </c>
      <c r="AL136" s="27" t="s">
        <v>9</v>
      </c>
      <c r="AM136" s="27" t="s">
        <v>9</v>
      </c>
      <c r="AN136" s="27" t="s">
        <v>8</v>
      </c>
      <c r="AO136" s="27" t="s">
        <v>8</v>
      </c>
      <c r="AP136" s="27" t="s">
        <v>8</v>
      </c>
      <c r="AQ136" s="27" t="s">
        <v>8</v>
      </c>
      <c r="AR136" s="27" t="s">
        <v>5</v>
      </c>
      <c r="AS136" s="27" t="s">
        <v>8</v>
      </c>
      <c r="AT136" s="27" t="s">
        <v>9</v>
      </c>
      <c r="AU136" s="27" t="s">
        <v>7</v>
      </c>
      <c r="AV136" s="27">
        <v>9</v>
      </c>
      <c r="AW136" s="27">
        <v>2</v>
      </c>
      <c r="AX136" s="27">
        <v>10</v>
      </c>
      <c r="AY136" s="27">
        <v>10</v>
      </c>
      <c r="AZ136" s="27">
        <v>10</v>
      </c>
      <c r="BA136" s="27">
        <v>8</v>
      </c>
      <c r="BB136" s="27" t="s">
        <v>199</v>
      </c>
      <c r="BC136" s="27" t="s">
        <v>211</v>
      </c>
      <c r="BD136" s="27" t="s">
        <v>442</v>
      </c>
      <c r="BE136" s="27" t="s">
        <v>785</v>
      </c>
      <c r="BF136" s="27" t="s">
        <v>240</v>
      </c>
      <c r="BG136" s="27" t="s">
        <v>786</v>
      </c>
    </row>
    <row r="137" spans="1:59" ht="15.7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row>
    <row r="138" spans="1:59" ht="15.75" customHeight="1" x14ac:dyDescent="0.2">
      <c r="A138" s="6"/>
      <c r="B138" s="32" t="s">
        <v>5</v>
      </c>
      <c r="C138" s="32"/>
      <c r="D138" s="32" t="s">
        <v>6</v>
      </c>
      <c r="E138" s="32" t="s">
        <v>7</v>
      </c>
      <c r="F138" s="32" t="s">
        <v>8</v>
      </c>
      <c r="G138" s="32" t="s">
        <v>9</v>
      </c>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row>
    <row r="139" spans="1:59" ht="15.75" customHeight="1" x14ac:dyDescent="0.2">
      <c r="A139" s="6"/>
      <c r="B139" s="33">
        <v>1</v>
      </c>
      <c r="C139" s="33"/>
      <c r="D139" s="33">
        <v>2</v>
      </c>
      <c r="E139" s="33">
        <v>3</v>
      </c>
      <c r="F139" s="33">
        <v>4</v>
      </c>
      <c r="G139" s="33">
        <v>5</v>
      </c>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row>
    <row r="140" spans="1:59" ht="15.75" customHeight="1" x14ac:dyDescent="0.2">
      <c r="A140" s="6"/>
      <c r="B140" s="6"/>
      <c r="C140" s="6"/>
      <c r="D140" s="6" t="s">
        <v>10</v>
      </c>
      <c r="E140" s="6" t="s">
        <v>10</v>
      </c>
      <c r="F140" s="6" t="s">
        <v>10</v>
      </c>
      <c r="G140" s="6" t="s">
        <v>13</v>
      </c>
      <c r="H140" s="6" t="s">
        <v>13</v>
      </c>
      <c r="I140" s="6" t="s">
        <v>13</v>
      </c>
      <c r="J140" s="6" t="s">
        <v>269</v>
      </c>
      <c r="K140" s="6" t="s">
        <v>269</v>
      </c>
      <c r="L140" s="6" t="s">
        <v>269</v>
      </c>
      <c r="M140" s="6" t="s">
        <v>17</v>
      </c>
      <c r="N140" s="6" t="s">
        <v>17</v>
      </c>
      <c r="O140" s="6" t="s">
        <v>17</v>
      </c>
      <c r="P140" s="6" t="s">
        <v>17</v>
      </c>
      <c r="Q140" s="6" t="s">
        <v>21</v>
      </c>
      <c r="R140" s="6" t="s">
        <v>21</v>
      </c>
      <c r="S140" s="6" t="s">
        <v>21</v>
      </c>
      <c r="T140" s="6" t="s">
        <v>25</v>
      </c>
      <c r="U140" s="6" t="s">
        <v>25</v>
      </c>
      <c r="V140" s="6" t="s">
        <v>25</v>
      </c>
      <c r="W140" s="6" t="s">
        <v>27</v>
      </c>
      <c r="X140" s="6" t="s">
        <v>27</v>
      </c>
      <c r="Y140" s="6" t="s">
        <v>27</v>
      </c>
      <c r="Z140" s="6" t="s">
        <v>31</v>
      </c>
      <c r="AA140" s="6" t="s">
        <v>31</v>
      </c>
      <c r="AB140" s="6" t="s">
        <v>31</v>
      </c>
      <c r="AC140" s="6" t="s">
        <v>31</v>
      </c>
      <c r="AD140" s="6" t="s">
        <v>270</v>
      </c>
      <c r="AE140" s="6" t="s">
        <v>270</v>
      </c>
      <c r="AF140" s="6" t="s">
        <v>270</v>
      </c>
      <c r="AG140" s="6" t="s">
        <v>270</v>
      </c>
      <c r="AH140" s="6" t="s">
        <v>41</v>
      </c>
      <c r="AI140" s="6" t="s">
        <v>41</v>
      </c>
      <c r="AJ140" s="6" t="s">
        <v>41</v>
      </c>
      <c r="AK140" s="6" t="s">
        <v>41</v>
      </c>
      <c r="AL140" s="6" t="s">
        <v>46</v>
      </c>
      <c r="AM140" s="6" t="s">
        <v>46</v>
      </c>
      <c r="AN140" s="6" t="s">
        <v>46</v>
      </c>
      <c r="AO140" s="6" t="s">
        <v>46</v>
      </c>
      <c r="AP140" s="6"/>
      <c r="AQ140" s="6"/>
      <c r="AR140" s="6"/>
      <c r="AS140" s="6"/>
      <c r="AT140" s="6"/>
      <c r="AU140" s="6"/>
      <c r="AV140" s="6"/>
      <c r="AW140" s="6"/>
      <c r="AX140" s="6"/>
      <c r="AY140" s="6"/>
      <c r="AZ140" s="6"/>
      <c r="BA140" s="6"/>
      <c r="BB140" s="6"/>
      <c r="BC140" s="6"/>
      <c r="BD140" s="6"/>
      <c r="BE140" s="6"/>
      <c r="BF140" s="6"/>
      <c r="BG140" s="6"/>
    </row>
    <row r="141" spans="1:59" ht="27" customHeight="1" x14ac:dyDescent="0.2">
      <c r="A141" s="6"/>
      <c r="B141" s="34"/>
      <c r="C141" s="34"/>
      <c r="D141" s="20" t="s">
        <v>111</v>
      </c>
      <c r="E141" s="35" t="s">
        <v>112</v>
      </c>
      <c r="F141" s="35" t="s">
        <v>113</v>
      </c>
      <c r="G141" s="35" t="s">
        <v>114</v>
      </c>
      <c r="H141" s="35" t="s">
        <v>115</v>
      </c>
      <c r="I141" s="35" t="s">
        <v>116</v>
      </c>
      <c r="J141" s="35" t="s">
        <v>117</v>
      </c>
      <c r="K141" s="35" t="s">
        <v>118</v>
      </c>
      <c r="L141" s="35" t="s">
        <v>119</v>
      </c>
      <c r="M141" s="35" t="s">
        <v>120</v>
      </c>
      <c r="N141" s="20" t="s">
        <v>121</v>
      </c>
      <c r="O141" s="35" t="s">
        <v>122</v>
      </c>
      <c r="P141" s="35" t="s">
        <v>123</v>
      </c>
      <c r="Q141" s="35" t="s">
        <v>124</v>
      </c>
      <c r="R141" s="35" t="s">
        <v>125</v>
      </c>
      <c r="S141" s="35" t="s">
        <v>126</v>
      </c>
      <c r="T141" s="35" t="s">
        <v>127</v>
      </c>
      <c r="U141" s="35" t="s">
        <v>128</v>
      </c>
      <c r="V141" s="35" t="s">
        <v>129</v>
      </c>
      <c r="W141" s="35" t="s">
        <v>130</v>
      </c>
      <c r="X141" s="35" t="s">
        <v>131</v>
      </c>
      <c r="Y141" s="35" t="s">
        <v>132</v>
      </c>
      <c r="Z141" s="35" t="s">
        <v>133</v>
      </c>
      <c r="AA141" s="35" t="s">
        <v>134</v>
      </c>
      <c r="AB141" s="35" t="s">
        <v>135</v>
      </c>
      <c r="AC141" s="35" t="s">
        <v>136</v>
      </c>
      <c r="AD141" s="35" t="s">
        <v>137</v>
      </c>
      <c r="AE141" s="35" t="s">
        <v>138</v>
      </c>
      <c r="AF141" s="35" t="s">
        <v>139</v>
      </c>
      <c r="AG141" s="35" t="s">
        <v>140</v>
      </c>
      <c r="AH141" s="35" t="s">
        <v>141</v>
      </c>
      <c r="AI141" s="35" t="s">
        <v>142</v>
      </c>
      <c r="AJ141" s="35" t="s">
        <v>143</v>
      </c>
      <c r="AK141" s="35" t="s">
        <v>144</v>
      </c>
      <c r="AL141" s="35" t="s">
        <v>145</v>
      </c>
      <c r="AM141" s="35" t="s">
        <v>146</v>
      </c>
      <c r="AN141" s="35" t="s">
        <v>147</v>
      </c>
      <c r="AO141" s="35" t="s">
        <v>148</v>
      </c>
      <c r="AP141" s="170" t="s">
        <v>801</v>
      </c>
      <c r="AQ141" s="6"/>
      <c r="AR141" s="6"/>
      <c r="AS141" s="6"/>
      <c r="AT141" s="6"/>
      <c r="AU141" s="6"/>
      <c r="AV141" s="6"/>
      <c r="AW141" s="6"/>
      <c r="AX141" s="6"/>
      <c r="AY141" s="6"/>
      <c r="AZ141" s="6"/>
      <c r="BA141" s="6"/>
      <c r="BB141" s="6"/>
      <c r="BC141" s="6"/>
      <c r="BD141" s="6"/>
      <c r="BE141" s="6"/>
      <c r="BF141" s="6"/>
      <c r="BG141" s="6"/>
    </row>
    <row r="142" spans="1:59" ht="15.75" customHeight="1" x14ac:dyDescent="0.2">
      <c r="A142" s="6"/>
      <c r="B142" s="36" t="s">
        <v>5</v>
      </c>
      <c r="C142" s="101"/>
      <c r="D142" s="37">
        <f t="shared" ref="D142:AO142" si="0">COUNTIF(J7:J136,$B$142)*1</f>
        <v>0</v>
      </c>
      <c r="E142" s="38">
        <f t="shared" si="0"/>
        <v>3</v>
      </c>
      <c r="F142" s="38">
        <f t="shared" si="0"/>
        <v>0</v>
      </c>
      <c r="G142" s="38">
        <f t="shared" si="0"/>
        <v>3</v>
      </c>
      <c r="H142" s="38">
        <f t="shared" si="0"/>
        <v>1</v>
      </c>
      <c r="I142" s="38">
        <f t="shared" si="0"/>
        <v>3</v>
      </c>
      <c r="J142" s="38">
        <f t="shared" si="0"/>
        <v>5</v>
      </c>
      <c r="K142" s="38">
        <f t="shared" si="0"/>
        <v>3</v>
      </c>
      <c r="L142" s="38">
        <f t="shared" si="0"/>
        <v>0</v>
      </c>
      <c r="M142" s="38">
        <f t="shared" si="0"/>
        <v>4</v>
      </c>
      <c r="N142" s="37">
        <f t="shared" si="0"/>
        <v>4</v>
      </c>
      <c r="O142" s="38">
        <f t="shared" si="0"/>
        <v>4</v>
      </c>
      <c r="P142" s="38">
        <f t="shared" si="0"/>
        <v>13</v>
      </c>
      <c r="Q142" s="38">
        <f t="shared" si="0"/>
        <v>11</v>
      </c>
      <c r="R142" s="38">
        <f t="shared" si="0"/>
        <v>14</v>
      </c>
      <c r="S142" s="38">
        <f t="shared" si="0"/>
        <v>20</v>
      </c>
      <c r="T142" s="38">
        <f t="shared" si="0"/>
        <v>3</v>
      </c>
      <c r="U142" s="38">
        <f t="shared" si="0"/>
        <v>3</v>
      </c>
      <c r="V142" s="38">
        <f t="shared" si="0"/>
        <v>7</v>
      </c>
      <c r="W142" s="38">
        <f t="shared" si="0"/>
        <v>4</v>
      </c>
      <c r="X142" s="38">
        <f t="shared" si="0"/>
        <v>1</v>
      </c>
      <c r="Y142" s="38">
        <f t="shared" si="0"/>
        <v>2</v>
      </c>
      <c r="Z142" s="38">
        <f t="shared" si="0"/>
        <v>1</v>
      </c>
      <c r="AA142" s="38">
        <f t="shared" si="0"/>
        <v>15</v>
      </c>
      <c r="AB142" s="38">
        <f t="shared" si="0"/>
        <v>22</v>
      </c>
      <c r="AC142" s="38">
        <f t="shared" si="0"/>
        <v>21</v>
      </c>
      <c r="AD142" s="38">
        <f t="shared" si="0"/>
        <v>3</v>
      </c>
      <c r="AE142" s="38">
        <f t="shared" si="0"/>
        <v>3</v>
      </c>
      <c r="AF142" s="38">
        <f t="shared" si="0"/>
        <v>4</v>
      </c>
      <c r="AG142" s="38">
        <f t="shared" si="0"/>
        <v>3</v>
      </c>
      <c r="AH142" s="38">
        <f t="shared" si="0"/>
        <v>7</v>
      </c>
      <c r="AI142" s="38">
        <f t="shared" si="0"/>
        <v>23</v>
      </c>
      <c r="AJ142" s="38">
        <f t="shared" si="0"/>
        <v>3</v>
      </c>
      <c r="AK142" s="38">
        <f t="shared" si="0"/>
        <v>23</v>
      </c>
      <c r="AL142" s="38">
        <f t="shared" si="0"/>
        <v>5</v>
      </c>
      <c r="AM142" s="38">
        <f t="shared" si="0"/>
        <v>3</v>
      </c>
      <c r="AN142" s="38">
        <f t="shared" si="0"/>
        <v>11</v>
      </c>
      <c r="AO142" s="38">
        <f t="shared" si="0"/>
        <v>12</v>
      </c>
      <c r="AP142" s="171">
        <f>SUM(C142:AO142)/1</f>
        <v>267</v>
      </c>
      <c r="AQ142" s="6"/>
      <c r="AR142" s="6"/>
      <c r="AS142" s="6"/>
      <c r="AT142" s="6"/>
      <c r="AU142" s="6"/>
      <c r="AV142" s="6"/>
      <c r="AW142" s="6"/>
      <c r="AX142" s="6"/>
      <c r="AY142" s="6"/>
      <c r="AZ142" s="6"/>
      <c r="BA142" s="6"/>
      <c r="BB142" s="6"/>
      <c r="BC142" s="6"/>
      <c r="BD142" s="6"/>
      <c r="BE142" s="6"/>
      <c r="BF142" s="6"/>
      <c r="BG142" s="6"/>
    </row>
    <row r="143" spans="1:59" ht="15.75" customHeight="1" x14ac:dyDescent="0.2">
      <c r="A143" s="6"/>
      <c r="B143" s="39" t="s">
        <v>6</v>
      </c>
      <c r="C143" s="39"/>
      <c r="D143" s="37">
        <f t="shared" ref="D143:AO143" si="1">COUNTIF(J7:J136,$B$143)*2</f>
        <v>0</v>
      </c>
      <c r="E143" s="38">
        <f t="shared" si="1"/>
        <v>6</v>
      </c>
      <c r="F143" s="38">
        <f t="shared" si="1"/>
        <v>0</v>
      </c>
      <c r="G143" s="38">
        <f t="shared" si="1"/>
        <v>4</v>
      </c>
      <c r="H143" s="38">
        <f t="shared" si="1"/>
        <v>6</v>
      </c>
      <c r="I143" s="38">
        <f t="shared" si="1"/>
        <v>2</v>
      </c>
      <c r="J143" s="38">
        <f t="shared" si="1"/>
        <v>20</v>
      </c>
      <c r="K143" s="38">
        <f t="shared" si="1"/>
        <v>20</v>
      </c>
      <c r="L143" s="38">
        <f t="shared" si="1"/>
        <v>4</v>
      </c>
      <c r="M143" s="38">
        <f t="shared" si="1"/>
        <v>26</v>
      </c>
      <c r="N143" s="37">
        <f t="shared" si="1"/>
        <v>14</v>
      </c>
      <c r="O143" s="38">
        <f t="shared" si="1"/>
        <v>28</v>
      </c>
      <c r="P143" s="38">
        <f t="shared" si="1"/>
        <v>60</v>
      </c>
      <c r="Q143" s="38">
        <f t="shared" si="1"/>
        <v>14</v>
      </c>
      <c r="R143" s="38">
        <f t="shared" si="1"/>
        <v>26</v>
      </c>
      <c r="S143" s="38">
        <f t="shared" si="1"/>
        <v>30</v>
      </c>
      <c r="T143" s="38">
        <f t="shared" si="1"/>
        <v>14</v>
      </c>
      <c r="U143" s="38">
        <f t="shared" si="1"/>
        <v>8</v>
      </c>
      <c r="V143" s="38">
        <f t="shared" si="1"/>
        <v>18</v>
      </c>
      <c r="W143" s="38">
        <f t="shared" si="1"/>
        <v>8</v>
      </c>
      <c r="X143" s="38">
        <f t="shared" si="1"/>
        <v>12</v>
      </c>
      <c r="Y143" s="38">
        <f t="shared" si="1"/>
        <v>12</v>
      </c>
      <c r="Z143" s="38">
        <f t="shared" si="1"/>
        <v>4</v>
      </c>
      <c r="AA143" s="38">
        <f t="shared" si="1"/>
        <v>48</v>
      </c>
      <c r="AB143" s="38">
        <f t="shared" si="1"/>
        <v>52</v>
      </c>
      <c r="AC143" s="38">
        <f t="shared" si="1"/>
        <v>64</v>
      </c>
      <c r="AD143" s="38">
        <f t="shared" si="1"/>
        <v>18</v>
      </c>
      <c r="AE143" s="38">
        <f t="shared" si="1"/>
        <v>10</v>
      </c>
      <c r="AF143" s="38">
        <f t="shared" si="1"/>
        <v>10</v>
      </c>
      <c r="AG143" s="38">
        <f t="shared" si="1"/>
        <v>12</v>
      </c>
      <c r="AH143" s="38">
        <f t="shared" si="1"/>
        <v>32</v>
      </c>
      <c r="AI143" s="38">
        <f t="shared" si="1"/>
        <v>36</v>
      </c>
      <c r="AJ143" s="38">
        <f t="shared" si="1"/>
        <v>14</v>
      </c>
      <c r="AK143" s="38">
        <f t="shared" si="1"/>
        <v>40</v>
      </c>
      <c r="AL143" s="38">
        <f t="shared" si="1"/>
        <v>16</v>
      </c>
      <c r="AM143" s="38">
        <f t="shared" si="1"/>
        <v>14</v>
      </c>
      <c r="AN143" s="38">
        <f t="shared" si="1"/>
        <v>28</v>
      </c>
      <c r="AO143" s="38">
        <f t="shared" si="1"/>
        <v>22</v>
      </c>
      <c r="AP143" s="171">
        <f>SUM(C143:AO143)/2</f>
        <v>376</v>
      </c>
      <c r="AQ143" s="6"/>
      <c r="AR143" s="6"/>
      <c r="AS143" s="6"/>
      <c r="AT143" s="6"/>
      <c r="AU143" s="6"/>
      <c r="AV143" s="6"/>
      <c r="AW143" s="6"/>
      <c r="AX143" s="6"/>
      <c r="AY143" s="6"/>
      <c r="AZ143" s="6"/>
      <c r="BA143" s="6"/>
      <c r="BB143" s="6"/>
      <c r="BC143" s="6"/>
      <c r="BD143" s="6"/>
      <c r="BE143" s="6"/>
      <c r="BF143" s="6"/>
      <c r="BG143" s="6"/>
    </row>
    <row r="144" spans="1:59" ht="15.75" customHeight="1" x14ac:dyDescent="0.2">
      <c r="A144" s="6"/>
      <c r="B144" s="39" t="s">
        <v>7</v>
      </c>
      <c r="C144" s="39"/>
      <c r="D144" s="37">
        <f t="shared" ref="D144:AO144" si="2">COUNTIF(J7:J136,$B$144)*3</f>
        <v>36</v>
      </c>
      <c r="E144" s="38">
        <f t="shared" si="2"/>
        <v>84</v>
      </c>
      <c r="F144" s="38">
        <f t="shared" si="2"/>
        <v>15</v>
      </c>
      <c r="G144" s="38">
        <f t="shared" si="2"/>
        <v>69</v>
      </c>
      <c r="H144" s="38">
        <f t="shared" si="2"/>
        <v>60</v>
      </c>
      <c r="I144" s="38">
        <f t="shared" si="2"/>
        <v>21</v>
      </c>
      <c r="J144" s="38">
        <f t="shared" si="2"/>
        <v>99</v>
      </c>
      <c r="K144" s="38">
        <f t="shared" si="2"/>
        <v>66</v>
      </c>
      <c r="L144" s="38">
        <f t="shared" si="2"/>
        <v>57</v>
      </c>
      <c r="M144" s="38">
        <f t="shared" si="2"/>
        <v>69</v>
      </c>
      <c r="N144" s="37">
        <f t="shared" si="2"/>
        <v>72</v>
      </c>
      <c r="O144" s="38">
        <f t="shared" si="2"/>
        <v>93</v>
      </c>
      <c r="P144" s="38">
        <f t="shared" si="2"/>
        <v>99</v>
      </c>
      <c r="Q144" s="38">
        <f t="shared" si="2"/>
        <v>81</v>
      </c>
      <c r="R144" s="38">
        <f t="shared" si="2"/>
        <v>102</v>
      </c>
      <c r="S144" s="38">
        <f t="shared" si="2"/>
        <v>78</v>
      </c>
      <c r="T144" s="38">
        <f t="shared" si="2"/>
        <v>75</v>
      </c>
      <c r="U144" s="38">
        <f t="shared" si="2"/>
        <v>75</v>
      </c>
      <c r="V144" s="38">
        <f t="shared" si="2"/>
        <v>102</v>
      </c>
      <c r="W144" s="38">
        <f t="shared" si="2"/>
        <v>63</v>
      </c>
      <c r="X144" s="38">
        <f t="shared" si="2"/>
        <v>33</v>
      </c>
      <c r="Y144" s="38">
        <f t="shared" si="2"/>
        <v>27</v>
      </c>
      <c r="Z144" s="38">
        <f t="shared" si="2"/>
        <v>84</v>
      </c>
      <c r="AA144" s="38">
        <f t="shared" si="2"/>
        <v>96</v>
      </c>
      <c r="AB144" s="38">
        <f t="shared" si="2"/>
        <v>96</v>
      </c>
      <c r="AC144" s="38">
        <f t="shared" si="2"/>
        <v>93</v>
      </c>
      <c r="AD144" s="38">
        <f t="shared" si="2"/>
        <v>54</v>
      </c>
      <c r="AE144" s="38">
        <f t="shared" si="2"/>
        <v>78</v>
      </c>
      <c r="AF144" s="38">
        <f t="shared" si="2"/>
        <v>90</v>
      </c>
      <c r="AG144" s="38">
        <f t="shared" si="2"/>
        <v>87</v>
      </c>
      <c r="AH144" s="38">
        <f t="shared" si="2"/>
        <v>111</v>
      </c>
      <c r="AI144" s="38">
        <f t="shared" si="2"/>
        <v>132</v>
      </c>
      <c r="AJ144" s="38">
        <f t="shared" si="2"/>
        <v>60</v>
      </c>
      <c r="AK144" s="38">
        <f t="shared" si="2"/>
        <v>84</v>
      </c>
      <c r="AL144" s="38">
        <f t="shared" si="2"/>
        <v>63</v>
      </c>
      <c r="AM144" s="38">
        <f t="shared" si="2"/>
        <v>72</v>
      </c>
      <c r="AN144" s="38">
        <f t="shared" si="2"/>
        <v>87</v>
      </c>
      <c r="AO144" s="38">
        <f t="shared" si="2"/>
        <v>60</v>
      </c>
      <c r="AP144" s="171">
        <f>SUM(C144:AO144)/3</f>
        <v>941</v>
      </c>
      <c r="AQ144" s="6"/>
      <c r="AR144" s="6"/>
      <c r="AS144" s="6"/>
      <c r="AT144" s="6"/>
      <c r="AU144" s="6"/>
      <c r="AV144" s="6"/>
      <c r="AW144" s="6"/>
      <c r="AX144" s="6"/>
      <c r="AY144" s="6"/>
      <c r="AZ144" s="6"/>
      <c r="BA144" s="6"/>
      <c r="BB144" s="6"/>
      <c r="BC144" s="6"/>
      <c r="BD144" s="6"/>
      <c r="BE144" s="6"/>
      <c r="BF144" s="6"/>
      <c r="BG144" s="6"/>
    </row>
    <row r="145" spans="1:59" ht="15.75" customHeight="1" x14ac:dyDescent="0.2">
      <c r="A145" s="6"/>
      <c r="B145" s="39" t="s">
        <v>8</v>
      </c>
      <c r="C145" s="39"/>
      <c r="D145" s="37">
        <f t="shared" ref="D145:AO145" si="3">COUNTIF(J7:J136,$B$145)*4</f>
        <v>184</v>
      </c>
      <c r="E145" s="38">
        <f t="shared" si="3"/>
        <v>196</v>
      </c>
      <c r="F145" s="38">
        <f t="shared" si="3"/>
        <v>104</v>
      </c>
      <c r="G145" s="38">
        <f t="shared" si="3"/>
        <v>176</v>
      </c>
      <c r="H145" s="38">
        <f t="shared" si="3"/>
        <v>204</v>
      </c>
      <c r="I145" s="38">
        <f t="shared" si="3"/>
        <v>200</v>
      </c>
      <c r="J145" s="38">
        <f t="shared" si="3"/>
        <v>148</v>
      </c>
      <c r="K145" s="38">
        <f t="shared" si="3"/>
        <v>172</v>
      </c>
      <c r="L145" s="38">
        <f t="shared" si="3"/>
        <v>168</v>
      </c>
      <c r="M145" s="38">
        <f t="shared" si="3"/>
        <v>136</v>
      </c>
      <c r="N145" s="37">
        <f t="shared" si="3"/>
        <v>152</v>
      </c>
      <c r="O145" s="38">
        <f t="shared" si="3"/>
        <v>180</v>
      </c>
      <c r="P145" s="38">
        <f t="shared" si="3"/>
        <v>136</v>
      </c>
      <c r="Q145" s="38">
        <f t="shared" si="3"/>
        <v>140</v>
      </c>
      <c r="R145" s="38">
        <f t="shared" si="3"/>
        <v>112</v>
      </c>
      <c r="S145" s="38">
        <f t="shared" si="3"/>
        <v>152</v>
      </c>
      <c r="T145" s="38">
        <f t="shared" si="3"/>
        <v>140</v>
      </c>
      <c r="U145" s="38">
        <f t="shared" si="3"/>
        <v>164</v>
      </c>
      <c r="V145" s="38">
        <f t="shared" si="3"/>
        <v>152</v>
      </c>
      <c r="W145" s="38">
        <f t="shared" si="3"/>
        <v>196</v>
      </c>
      <c r="X145" s="38">
        <f t="shared" si="3"/>
        <v>228</v>
      </c>
      <c r="Y145" s="38">
        <f t="shared" si="3"/>
        <v>192</v>
      </c>
      <c r="Z145" s="38">
        <f t="shared" si="3"/>
        <v>224</v>
      </c>
      <c r="AA145" s="38">
        <f t="shared" si="3"/>
        <v>132</v>
      </c>
      <c r="AB145" s="38">
        <f t="shared" si="3"/>
        <v>104</v>
      </c>
      <c r="AC145" s="38">
        <f t="shared" si="3"/>
        <v>116</v>
      </c>
      <c r="AD145" s="38">
        <f t="shared" si="3"/>
        <v>196</v>
      </c>
      <c r="AE145" s="38">
        <f t="shared" si="3"/>
        <v>196</v>
      </c>
      <c r="AF145" s="38">
        <f t="shared" si="3"/>
        <v>188</v>
      </c>
      <c r="AG145" s="38">
        <f t="shared" si="3"/>
        <v>208</v>
      </c>
      <c r="AH145" s="38">
        <f t="shared" si="3"/>
        <v>168</v>
      </c>
      <c r="AI145" s="38">
        <f t="shared" si="3"/>
        <v>84</v>
      </c>
      <c r="AJ145" s="38">
        <f t="shared" si="3"/>
        <v>176</v>
      </c>
      <c r="AK145" s="38">
        <f t="shared" si="3"/>
        <v>140</v>
      </c>
      <c r="AL145" s="38">
        <f t="shared" si="3"/>
        <v>160</v>
      </c>
      <c r="AM145" s="38">
        <f t="shared" si="3"/>
        <v>192</v>
      </c>
      <c r="AN145" s="38">
        <f t="shared" si="3"/>
        <v>184</v>
      </c>
      <c r="AO145" s="38">
        <f t="shared" si="3"/>
        <v>160</v>
      </c>
      <c r="AP145" s="171">
        <f>SUM(C145:AO145)/4</f>
        <v>1565</v>
      </c>
      <c r="AQ145" s="6"/>
      <c r="AR145" s="6"/>
      <c r="AS145" s="6"/>
      <c r="AT145" s="6"/>
      <c r="AU145" s="6"/>
      <c r="AV145" s="6"/>
      <c r="AW145" s="6"/>
      <c r="AX145" s="6"/>
      <c r="AY145" s="6"/>
      <c r="AZ145" s="6"/>
      <c r="BA145" s="6"/>
      <c r="BB145" s="6"/>
      <c r="BC145" s="6"/>
      <c r="BD145" s="6"/>
      <c r="BE145" s="6"/>
      <c r="BF145" s="6"/>
      <c r="BG145" s="6"/>
    </row>
    <row r="146" spans="1:59" ht="15.75" customHeight="1" x14ac:dyDescent="0.2">
      <c r="A146" s="6"/>
      <c r="B146" s="40" t="s">
        <v>9</v>
      </c>
      <c r="C146" s="101"/>
      <c r="D146" s="37">
        <f t="shared" ref="D146:AO146" si="4">COUNTIF(J7:J136,$B$146)*5</f>
        <v>360</v>
      </c>
      <c r="E146" s="38">
        <f t="shared" si="4"/>
        <v>235</v>
      </c>
      <c r="F146" s="38">
        <f t="shared" si="4"/>
        <v>495</v>
      </c>
      <c r="G146" s="38">
        <f t="shared" si="4"/>
        <v>290</v>
      </c>
      <c r="H146" s="38">
        <f t="shared" si="4"/>
        <v>275</v>
      </c>
      <c r="I146" s="38">
        <f t="shared" si="4"/>
        <v>345</v>
      </c>
      <c r="J146" s="38">
        <f t="shared" si="4"/>
        <v>225</v>
      </c>
      <c r="K146" s="38">
        <f t="shared" si="4"/>
        <v>260</v>
      </c>
      <c r="L146" s="38">
        <f t="shared" si="4"/>
        <v>335</v>
      </c>
      <c r="M146" s="38">
        <f t="shared" si="4"/>
        <v>280</v>
      </c>
      <c r="N146" s="37">
        <f t="shared" si="4"/>
        <v>285</v>
      </c>
      <c r="O146" s="38">
        <f t="shared" si="4"/>
        <v>180</v>
      </c>
      <c r="P146" s="38">
        <f t="shared" si="4"/>
        <v>100</v>
      </c>
      <c r="Q146" s="38">
        <f t="shared" si="4"/>
        <v>250</v>
      </c>
      <c r="R146" s="38">
        <f t="shared" si="4"/>
        <v>205</v>
      </c>
      <c r="S146" s="38">
        <f t="shared" si="4"/>
        <v>155</v>
      </c>
      <c r="T146" s="38">
        <f t="shared" si="4"/>
        <v>300</v>
      </c>
      <c r="U146" s="38">
        <f t="shared" si="4"/>
        <v>285</v>
      </c>
      <c r="V146" s="38">
        <f t="shared" si="4"/>
        <v>210</v>
      </c>
      <c r="W146" s="38">
        <f t="shared" si="4"/>
        <v>260</v>
      </c>
      <c r="X146" s="38">
        <f t="shared" si="4"/>
        <v>275</v>
      </c>
      <c r="Y146" s="38">
        <f t="shared" si="4"/>
        <v>325</v>
      </c>
      <c r="Z146" s="38">
        <f t="shared" si="4"/>
        <v>215</v>
      </c>
      <c r="AA146" s="38">
        <f t="shared" si="4"/>
        <v>130</v>
      </c>
      <c r="AB146" s="38">
        <f t="shared" si="4"/>
        <v>120</v>
      </c>
      <c r="AC146" s="38">
        <f t="shared" si="4"/>
        <v>85</v>
      </c>
      <c r="AD146" s="38">
        <f t="shared" si="4"/>
        <v>255</v>
      </c>
      <c r="AE146" s="38">
        <f t="shared" si="4"/>
        <v>235</v>
      </c>
      <c r="AF146" s="38">
        <f t="shared" si="4"/>
        <v>220</v>
      </c>
      <c r="AG146" s="38">
        <f t="shared" si="4"/>
        <v>200</v>
      </c>
      <c r="AH146" s="38">
        <f t="shared" si="4"/>
        <v>140</v>
      </c>
      <c r="AI146" s="38">
        <f t="shared" si="4"/>
        <v>120</v>
      </c>
      <c r="AJ146" s="38">
        <f t="shared" si="4"/>
        <v>280</v>
      </c>
      <c r="AK146" s="38">
        <f t="shared" si="4"/>
        <v>120</v>
      </c>
      <c r="AL146" s="38">
        <f t="shared" si="4"/>
        <v>280</v>
      </c>
      <c r="AM146" s="38">
        <f t="shared" si="4"/>
        <v>240</v>
      </c>
      <c r="AN146" s="38">
        <f t="shared" si="4"/>
        <v>150</v>
      </c>
      <c r="AO146" s="38">
        <f t="shared" si="4"/>
        <v>235</v>
      </c>
      <c r="AP146" s="171">
        <f>SUM(C146:AO146)/5</f>
        <v>1791</v>
      </c>
      <c r="AQ146" s="6"/>
      <c r="AR146" s="6"/>
      <c r="AS146" s="6"/>
      <c r="AT146" s="6"/>
      <c r="AU146" s="6"/>
      <c r="AV146" s="6"/>
      <c r="AW146" s="6"/>
      <c r="AX146" s="6"/>
      <c r="AY146" s="6"/>
      <c r="AZ146" s="6"/>
      <c r="BA146" s="6"/>
      <c r="BB146" s="6"/>
      <c r="BC146" s="6"/>
      <c r="BD146" s="6"/>
      <c r="BE146" s="6"/>
      <c r="BF146" s="6"/>
      <c r="BG146" s="6"/>
    </row>
    <row r="147" spans="1:59" ht="15.75" customHeight="1" x14ac:dyDescent="0.2">
      <c r="A147" s="6"/>
      <c r="B147" s="41" t="s">
        <v>271</v>
      </c>
      <c r="C147" s="41"/>
      <c r="D147" s="20">
        <f t="shared" ref="D147:AO147" si="5">SUM(D142:D146)</f>
        <v>580</v>
      </c>
      <c r="E147" s="35">
        <f t="shared" si="5"/>
        <v>524</v>
      </c>
      <c r="F147" s="35">
        <f t="shared" si="5"/>
        <v>614</v>
      </c>
      <c r="G147" s="35">
        <f t="shared" si="5"/>
        <v>542</v>
      </c>
      <c r="H147" s="35">
        <f t="shared" si="5"/>
        <v>546</v>
      </c>
      <c r="I147" s="35">
        <f t="shared" si="5"/>
        <v>571</v>
      </c>
      <c r="J147" s="35">
        <f t="shared" si="5"/>
        <v>497</v>
      </c>
      <c r="K147" s="35">
        <f t="shared" si="5"/>
        <v>521</v>
      </c>
      <c r="L147" s="35">
        <f t="shared" si="5"/>
        <v>564</v>
      </c>
      <c r="M147" s="35">
        <f t="shared" si="5"/>
        <v>515</v>
      </c>
      <c r="N147" s="20">
        <f t="shared" si="5"/>
        <v>527</v>
      </c>
      <c r="O147" s="35">
        <f t="shared" si="5"/>
        <v>485</v>
      </c>
      <c r="P147" s="35">
        <f t="shared" si="5"/>
        <v>408</v>
      </c>
      <c r="Q147" s="35">
        <f t="shared" si="5"/>
        <v>496</v>
      </c>
      <c r="R147" s="35">
        <f t="shared" si="5"/>
        <v>459</v>
      </c>
      <c r="S147" s="35">
        <f t="shared" si="5"/>
        <v>435</v>
      </c>
      <c r="T147" s="35">
        <f t="shared" si="5"/>
        <v>532</v>
      </c>
      <c r="U147" s="35">
        <f t="shared" si="5"/>
        <v>535</v>
      </c>
      <c r="V147" s="35">
        <f t="shared" si="5"/>
        <v>489</v>
      </c>
      <c r="W147" s="35">
        <f t="shared" si="5"/>
        <v>531</v>
      </c>
      <c r="X147" s="35">
        <f t="shared" si="5"/>
        <v>549</v>
      </c>
      <c r="Y147" s="35">
        <f t="shared" si="5"/>
        <v>558</v>
      </c>
      <c r="Z147" s="35">
        <f t="shared" si="5"/>
        <v>528</v>
      </c>
      <c r="AA147" s="35">
        <f t="shared" si="5"/>
        <v>421</v>
      </c>
      <c r="AB147" s="35">
        <f t="shared" si="5"/>
        <v>394</v>
      </c>
      <c r="AC147" s="35">
        <f t="shared" si="5"/>
        <v>379</v>
      </c>
      <c r="AD147" s="35">
        <f t="shared" si="5"/>
        <v>526</v>
      </c>
      <c r="AE147" s="35">
        <f t="shared" si="5"/>
        <v>522</v>
      </c>
      <c r="AF147" s="35">
        <f t="shared" si="5"/>
        <v>512</v>
      </c>
      <c r="AG147" s="35">
        <f t="shared" si="5"/>
        <v>510</v>
      </c>
      <c r="AH147" s="35">
        <f t="shared" si="5"/>
        <v>458</v>
      </c>
      <c r="AI147" s="35">
        <f t="shared" si="5"/>
        <v>395</v>
      </c>
      <c r="AJ147" s="35">
        <f t="shared" si="5"/>
        <v>533</v>
      </c>
      <c r="AK147" s="35">
        <f t="shared" si="5"/>
        <v>407</v>
      </c>
      <c r="AL147" s="35">
        <f t="shared" si="5"/>
        <v>524</v>
      </c>
      <c r="AM147" s="35">
        <f t="shared" si="5"/>
        <v>521</v>
      </c>
      <c r="AN147" s="35">
        <f t="shared" si="5"/>
        <v>460</v>
      </c>
      <c r="AO147" s="35">
        <f t="shared" si="5"/>
        <v>489</v>
      </c>
      <c r="AP147" s="172">
        <f t="shared" ref="AP147" si="6">SUM(AP142:AP146)</f>
        <v>4940</v>
      </c>
      <c r="AQ147" s="6"/>
      <c r="AR147" s="6"/>
      <c r="AS147" s="6"/>
      <c r="AT147" s="6"/>
      <c r="AU147" s="6"/>
      <c r="AV147" s="6"/>
      <c r="AW147" s="6"/>
      <c r="AX147" s="6"/>
      <c r="AY147" s="6"/>
      <c r="AZ147" s="6"/>
      <c r="BA147" s="6"/>
      <c r="BB147" s="6"/>
      <c r="BC147" s="6"/>
      <c r="BD147" s="6"/>
      <c r="BE147" s="6"/>
      <c r="BF147" s="6"/>
      <c r="BG147" s="6"/>
    </row>
    <row r="148" spans="1:59" ht="15.7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row>
    <row r="149" spans="1:59" ht="15.7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row>
    <row r="150" spans="1:59" ht="27.75" customHeight="1" x14ac:dyDescent="0.2">
      <c r="A150" s="6"/>
      <c r="B150" s="34"/>
      <c r="C150" s="34"/>
      <c r="D150" s="20" t="s">
        <v>149</v>
      </c>
      <c r="E150" s="35" t="s">
        <v>150</v>
      </c>
      <c r="F150" s="20" t="s">
        <v>151</v>
      </c>
      <c r="G150" s="35" t="s">
        <v>152</v>
      </c>
      <c r="H150" s="20" t="s">
        <v>153</v>
      </c>
      <c r="I150" s="35" t="s">
        <v>154</v>
      </c>
      <c r="J150" s="42" t="s">
        <v>272</v>
      </c>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row>
    <row r="151" spans="1:59" ht="15.75" customHeight="1" x14ac:dyDescent="0.2">
      <c r="A151" s="6"/>
      <c r="B151" s="36">
        <v>1</v>
      </c>
      <c r="C151" s="101"/>
      <c r="D151" s="37">
        <f t="shared" ref="D151:I151" si="7">COUNTIF(AV7:AV136,$B$151)*$B$151</f>
        <v>2</v>
      </c>
      <c r="E151" s="37">
        <f t="shared" si="7"/>
        <v>2</v>
      </c>
      <c r="F151" s="37">
        <f t="shared" si="7"/>
        <v>0</v>
      </c>
      <c r="G151" s="37">
        <f t="shared" si="7"/>
        <v>0</v>
      </c>
      <c r="H151" s="37">
        <f t="shared" si="7"/>
        <v>3</v>
      </c>
      <c r="I151" s="37">
        <f t="shared" si="7"/>
        <v>2</v>
      </c>
      <c r="J151" s="37">
        <f>SUM(D151:I151)/B151</f>
        <v>9</v>
      </c>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row>
    <row r="152" spans="1:59" ht="15.75" customHeight="1" x14ac:dyDescent="0.2">
      <c r="A152" s="6"/>
      <c r="B152" s="39">
        <v>2</v>
      </c>
      <c r="C152" s="39"/>
      <c r="D152" s="37">
        <f t="shared" ref="D152:I152" si="8">COUNTIF(AV7:AV136,$B$152)*$B$152</f>
        <v>4</v>
      </c>
      <c r="E152" s="37">
        <f t="shared" si="8"/>
        <v>6</v>
      </c>
      <c r="F152" s="37">
        <f t="shared" si="8"/>
        <v>2</v>
      </c>
      <c r="G152" s="37">
        <f t="shared" si="8"/>
        <v>2</v>
      </c>
      <c r="H152" s="37">
        <f t="shared" si="8"/>
        <v>6</v>
      </c>
      <c r="I152" s="37">
        <f t="shared" si="8"/>
        <v>10</v>
      </c>
      <c r="J152" s="37">
        <f t="shared" ref="J152:J160" si="9">SUM(D152:I152)/B152</f>
        <v>15</v>
      </c>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row>
    <row r="153" spans="1:59" ht="15.75" customHeight="1" x14ac:dyDescent="0.2">
      <c r="A153" s="6"/>
      <c r="B153" s="39">
        <v>3</v>
      </c>
      <c r="C153" s="39"/>
      <c r="D153" s="37">
        <f t="shared" ref="D153:I153" si="10">COUNTIF(AV7:AV136,$B$153)*$B$153</f>
        <v>9</v>
      </c>
      <c r="E153" s="37">
        <f t="shared" si="10"/>
        <v>12</v>
      </c>
      <c r="F153" s="37">
        <f t="shared" si="10"/>
        <v>12</v>
      </c>
      <c r="G153" s="37">
        <f t="shared" si="10"/>
        <v>0</v>
      </c>
      <c r="H153" s="37">
        <f t="shared" si="10"/>
        <v>9</v>
      </c>
      <c r="I153" s="37">
        <f t="shared" si="10"/>
        <v>6</v>
      </c>
      <c r="J153" s="37">
        <f t="shared" si="9"/>
        <v>16</v>
      </c>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row>
    <row r="154" spans="1:59" ht="15.75" customHeight="1" x14ac:dyDescent="0.2">
      <c r="A154" s="6"/>
      <c r="B154" s="39">
        <v>4</v>
      </c>
      <c r="C154" s="39"/>
      <c r="D154" s="37">
        <f t="shared" ref="D154:I154" si="11">COUNTIF(AV7:AV136, $B$154)*$B$154</f>
        <v>16</v>
      </c>
      <c r="E154" s="37">
        <f t="shared" si="11"/>
        <v>32</v>
      </c>
      <c r="F154" s="37">
        <f t="shared" si="11"/>
        <v>20</v>
      </c>
      <c r="G154" s="37">
        <f t="shared" si="11"/>
        <v>4</v>
      </c>
      <c r="H154" s="37">
        <f t="shared" si="11"/>
        <v>24</v>
      </c>
      <c r="I154" s="37">
        <f t="shared" si="11"/>
        <v>16</v>
      </c>
      <c r="J154" s="37">
        <f t="shared" si="9"/>
        <v>28</v>
      </c>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row>
    <row r="155" spans="1:59" ht="15.75" customHeight="1" x14ac:dyDescent="0.2">
      <c r="A155" s="6"/>
      <c r="B155" s="39">
        <v>5</v>
      </c>
      <c r="C155" s="39"/>
      <c r="D155" s="37">
        <f t="shared" ref="D155:I155" si="12">COUNTIF(AV7:AV136,$B$155)*$B$155</f>
        <v>45</v>
      </c>
      <c r="E155" s="37">
        <f t="shared" si="12"/>
        <v>60</v>
      </c>
      <c r="F155" s="37">
        <f t="shared" si="12"/>
        <v>45</v>
      </c>
      <c r="G155" s="37">
        <f t="shared" si="12"/>
        <v>20</v>
      </c>
      <c r="H155" s="37">
        <f t="shared" si="12"/>
        <v>50</v>
      </c>
      <c r="I155" s="37">
        <f t="shared" si="12"/>
        <v>65</v>
      </c>
      <c r="J155" s="37">
        <f t="shared" si="9"/>
        <v>57</v>
      </c>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row>
    <row r="156" spans="1:59" ht="15.75" customHeight="1" x14ac:dyDescent="0.2">
      <c r="A156" s="6"/>
      <c r="B156" s="39">
        <v>6</v>
      </c>
      <c r="C156" s="39"/>
      <c r="D156" s="37">
        <f t="shared" ref="D156:I156" si="13">COUNTIF(AV7:AV136,$B$156)*$B$156</f>
        <v>72</v>
      </c>
      <c r="E156" s="37">
        <f t="shared" si="13"/>
        <v>24</v>
      </c>
      <c r="F156" s="37">
        <f t="shared" si="13"/>
        <v>54</v>
      </c>
      <c r="G156" s="37">
        <f t="shared" si="13"/>
        <v>30</v>
      </c>
      <c r="H156" s="37">
        <f t="shared" si="13"/>
        <v>42</v>
      </c>
      <c r="I156" s="37">
        <f t="shared" si="13"/>
        <v>30</v>
      </c>
      <c r="J156" s="37">
        <f t="shared" si="9"/>
        <v>42</v>
      </c>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row>
    <row r="157" spans="1:59" ht="15.75" customHeight="1" x14ac:dyDescent="0.2">
      <c r="A157" s="6"/>
      <c r="B157" s="39">
        <v>7</v>
      </c>
      <c r="C157" s="39"/>
      <c r="D157" s="37">
        <f t="shared" ref="D157:I157" si="14">COUNTIF(AV7:AV136,$B$157)*$B$157</f>
        <v>126</v>
      </c>
      <c r="E157" s="37">
        <f t="shared" si="14"/>
        <v>70</v>
      </c>
      <c r="F157" s="37">
        <f t="shared" si="14"/>
        <v>84</v>
      </c>
      <c r="G157" s="37">
        <f t="shared" si="14"/>
        <v>42</v>
      </c>
      <c r="H157" s="37">
        <f t="shared" si="14"/>
        <v>140</v>
      </c>
      <c r="I157" s="37">
        <f t="shared" si="14"/>
        <v>105</v>
      </c>
      <c r="J157" s="37">
        <f t="shared" si="9"/>
        <v>81</v>
      </c>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row>
    <row r="158" spans="1:59" ht="15.75" customHeight="1" x14ac:dyDescent="0.2">
      <c r="A158" s="6"/>
      <c r="B158" s="39">
        <v>8</v>
      </c>
      <c r="C158" s="39"/>
      <c r="D158" s="37">
        <f t="shared" ref="D158:I158" si="15">COUNTIF(AV7:AV136,$B$158)*$B$158</f>
        <v>192</v>
      </c>
      <c r="E158" s="37">
        <f t="shared" si="15"/>
        <v>168</v>
      </c>
      <c r="F158" s="37">
        <f t="shared" si="15"/>
        <v>208</v>
      </c>
      <c r="G158" s="37">
        <f t="shared" si="15"/>
        <v>160</v>
      </c>
      <c r="H158" s="37">
        <f t="shared" si="15"/>
        <v>144</v>
      </c>
      <c r="I158" s="37">
        <f t="shared" si="15"/>
        <v>216</v>
      </c>
      <c r="J158" s="37">
        <f t="shared" si="9"/>
        <v>136</v>
      </c>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row>
    <row r="159" spans="1:59" ht="15.75" customHeight="1" x14ac:dyDescent="0.2">
      <c r="A159" s="6"/>
      <c r="B159" s="39">
        <v>9</v>
      </c>
      <c r="C159" s="39"/>
      <c r="D159" s="37">
        <f t="shared" ref="D159:I159" si="16">COUNTIF(AV7:AV136,$B$159)*$B$159</f>
        <v>279</v>
      </c>
      <c r="E159" s="37">
        <f t="shared" si="16"/>
        <v>234</v>
      </c>
      <c r="F159" s="37">
        <f t="shared" si="16"/>
        <v>225</v>
      </c>
      <c r="G159" s="37">
        <f t="shared" si="16"/>
        <v>369</v>
      </c>
      <c r="H159" s="37">
        <f t="shared" si="16"/>
        <v>198</v>
      </c>
      <c r="I159" s="37">
        <f t="shared" si="16"/>
        <v>243</v>
      </c>
      <c r="J159" s="37">
        <f t="shared" si="9"/>
        <v>172</v>
      </c>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row>
    <row r="160" spans="1:59" ht="15.75" customHeight="1" x14ac:dyDescent="0.2">
      <c r="A160" s="6"/>
      <c r="B160" s="39">
        <v>10</v>
      </c>
      <c r="C160" s="39"/>
      <c r="D160" s="37">
        <f t="shared" ref="D160:I160" si="17">COUNTIF(AV7:AV136,$B$160)*$B$160</f>
        <v>240</v>
      </c>
      <c r="E160" s="37">
        <f t="shared" si="17"/>
        <v>390</v>
      </c>
      <c r="F160" s="37">
        <f t="shared" si="17"/>
        <v>390</v>
      </c>
      <c r="G160" s="37">
        <f t="shared" si="17"/>
        <v>510</v>
      </c>
      <c r="H160" s="37">
        <f t="shared" si="17"/>
        <v>320</v>
      </c>
      <c r="I160" s="37">
        <f t="shared" si="17"/>
        <v>260</v>
      </c>
      <c r="J160" s="37">
        <f t="shared" si="9"/>
        <v>211</v>
      </c>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row>
    <row r="161" spans="1:59" ht="15.75" customHeight="1" x14ac:dyDescent="0.2">
      <c r="A161" s="6"/>
      <c r="B161" s="43" t="s">
        <v>271</v>
      </c>
      <c r="C161" s="43"/>
      <c r="D161" s="44">
        <f>SUM(D151:D160)</f>
        <v>985</v>
      </c>
      <c r="E161" s="44">
        <f t="shared" ref="E161:J161" si="18">SUM(E151:E160)</f>
        <v>998</v>
      </c>
      <c r="F161" s="44">
        <f t="shared" si="18"/>
        <v>1040</v>
      </c>
      <c r="G161" s="44">
        <f t="shared" si="18"/>
        <v>1137</v>
      </c>
      <c r="H161" s="44">
        <f t="shared" si="18"/>
        <v>936</v>
      </c>
      <c r="I161" s="44">
        <f t="shared" si="18"/>
        <v>953</v>
      </c>
      <c r="J161" s="45">
        <f t="shared" si="18"/>
        <v>767</v>
      </c>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row>
    <row r="162" spans="1:59" ht="15.7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row>
    <row r="163" spans="1:59" ht="15.7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row>
    <row r="164" spans="1:59" ht="24" customHeight="1" x14ac:dyDescent="0.2">
      <c r="A164" s="6"/>
      <c r="B164" s="253" t="s">
        <v>110</v>
      </c>
      <c r="C164" s="254"/>
      <c r="D164" s="252"/>
      <c r="E164" s="46">
        <f>L3</f>
        <v>130</v>
      </c>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row>
    <row r="165" spans="1:59" ht="24" customHeight="1" x14ac:dyDescent="0.2">
      <c r="A165" s="6"/>
      <c r="B165" s="255" t="s">
        <v>272</v>
      </c>
      <c r="C165" s="256"/>
      <c r="D165" s="257"/>
      <c r="E165" s="47">
        <f>SUM(E166:E168)</f>
        <v>6098</v>
      </c>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row>
    <row r="166" spans="1:59" ht="15.75" customHeight="1" x14ac:dyDescent="0.2">
      <c r="A166" s="6"/>
      <c r="B166" s="258" t="s">
        <v>273</v>
      </c>
      <c r="C166" s="259"/>
      <c r="D166" s="260"/>
      <c r="E166" s="48">
        <f>AP147</f>
        <v>4940</v>
      </c>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row>
    <row r="167" spans="1:59" ht="15.75" customHeight="1" x14ac:dyDescent="0.2">
      <c r="A167" s="6"/>
      <c r="B167" s="261" t="s">
        <v>274</v>
      </c>
      <c r="C167" s="262"/>
      <c r="D167" s="250"/>
      <c r="E167" s="49">
        <f>J161</f>
        <v>767</v>
      </c>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row>
    <row r="168" spans="1:59" ht="15.75" customHeight="1" x14ac:dyDescent="0.2">
      <c r="A168" s="6"/>
      <c r="B168" s="263" t="s">
        <v>275</v>
      </c>
      <c r="C168" s="264"/>
      <c r="D168" s="265"/>
      <c r="E168" s="50">
        <f>COUNTA(BE7:BE136)+COUNTA(BF7:BF136)+COUNTA(#REF!)+COUNTA(BG7:BG136)</f>
        <v>391</v>
      </c>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row>
    <row r="169" spans="1:59" ht="24" customHeight="1" x14ac:dyDescent="0.2">
      <c r="A169" s="6"/>
      <c r="B169" s="244" t="s">
        <v>276</v>
      </c>
      <c r="C169" s="245"/>
      <c r="D169" s="246"/>
      <c r="E169" s="51">
        <f>SUM(D147:AU147)</f>
        <v>23997</v>
      </c>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row>
    <row r="170" spans="1:59" ht="24" customHeight="1" x14ac:dyDescent="0.2">
      <c r="A170" s="6"/>
      <c r="B170" s="247" t="s">
        <v>277</v>
      </c>
      <c r="C170" s="248"/>
      <c r="D170" s="246"/>
      <c r="E170" s="52">
        <f>SUM(D161:G161)</f>
        <v>4160</v>
      </c>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row>
    <row r="171" spans="1:59" ht="15.7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row>
    <row r="172" spans="1:59" ht="15.7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row>
    <row r="173" spans="1:59" x14ac:dyDescent="0.2">
      <c r="A173" s="6"/>
      <c r="B173" s="34"/>
      <c r="C173" s="34"/>
      <c r="D173" s="20" t="s">
        <v>111</v>
      </c>
      <c r="E173" s="35" t="s">
        <v>112</v>
      </c>
      <c r="F173" s="35" t="s">
        <v>113</v>
      </c>
      <c r="G173" s="35" t="s">
        <v>114</v>
      </c>
      <c r="H173" s="35" t="s">
        <v>115</v>
      </c>
      <c r="I173" s="35" t="s">
        <v>116</v>
      </c>
      <c r="J173" s="35" t="s">
        <v>117</v>
      </c>
      <c r="K173" s="35" t="s">
        <v>118</v>
      </c>
      <c r="L173" s="35" t="s">
        <v>119</v>
      </c>
      <c r="M173" s="35" t="s">
        <v>120</v>
      </c>
      <c r="N173" s="20" t="s">
        <v>121</v>
      </c>
      <c r="O173" s="35" t="s">
        <v>122</v>
      </c>
      <c r="P173" s="35" t="s">
        <v>123</v>
      </c>
      <c r="Q173" s="35" t="s">
        <v>124</v>
      </c>
      <c r="R173" s="35" t="s">
        <v>125</v>
      </c>
      <c r="S173" s="35" t="s">
        <v>126</v>
      </c>
      <c r="T173" s="35" t="s">
        <v>127</v>
      </c>
      <c r="U173" s="35" t="s">
        <v>128</v>
      </c>
      <c r="V173" s="35" t="s">
        <v>129</v>
      </c>
      <c r="W173" s="35" t="s">
        <v>130</v>
      </c>
      <c r="X173" s="35" t="s">
        <v>131</v>
      </c>
      <c r="Y173" s="35" t="s">
        <v>132</v>
      </c>
      <c r="Z173" s="35" t="s">
        <v>133</v>
      </c>
      <c r="AA173" s="35" t="s">
        <v>134</v>
      </c>
      <c r="AB173" s="35" t="s">
        <v>135</v>
      </c>
      <c r="AC173" s="35" t="s">
        <v>136</v>
      </c>
      <c r="AD173" s="35" t="s">
        <v>137</v>
      </c>
      <c r="AE173" s="35" t="s">
        <v>138</v>
      </c>
      <c r="AF173" s="35" t="s">
        <v>139</v>
      </c>
      <c r="AG173" s="35" t="s">
        <v>140</v>
      </c>
      <c r="AH173" s="35" t="s">
        <v>141</v>
      </c>
      <c r="AI173" s="35" t="s">
        <v>142</v>
      </c>
      <c r="AJ173" s="35" t="s">
        <v>143</v>
      </c>
      <c r="AK173" s="35" t="s">
        <v>144</v>
      </c>
      <c r="AL173" s="35" t="s">
        <v>145</v>
      </c>
      <c r="AM173" s="35" t="s">
        <v>146</v>
      </c>
      <c r="AN173" s="35" t="s">
        <v>147</v>
      </c>
      <c r="AO173" s="35" t="s">
        <v>148</v>
      </c>
      <c r="AP173" s="35" t="s">
        <v>149</v>
      </c>
      <c r="AQ173" s="35" t="s">
        <v>150</v>
      </c>
      <c r="AR173" s="35" t="s">
        <v>151</v>
      </c>
      <c r="AS173" s="35" t="s">
        <v>152</v>
      </c>
      <c r="AT173" s="35" t="s">
        <v>153</v>
      </c>
      <c r="AU173" s="35" t="s">
        <v>154</v>
      </c>
      <c r="AV173" s="6"/>
      <c r="AW173" s="6"/>
      <c r="AX173" s="6"/>
      <c r="AY173" s="6"/>
      <c r="AZ173" s="6"/>
      <c r="BA173" s="6"/>
      <c r="BB173" s="6"/>
      <c r="BC173" s="6"/>
      <c r="BD173" s="6"/>
      <c r="BE173" s="6"/>
      <c r="BF173" s="6"/>
      <c r="BG173" s="6"/>
    </row>
    <row r="174" spans="1:59" ht="15.75" customHeight="1" x14ac:dyDescent="0.2">
      <c r="A174" s="6"/>
      <c r="B174" s="36" t="s">
        <v>5</v>
      </c>
      <c r="C174" s="101"/>
      <c r="D174" s="37">
        <f t="shared" ref="D174:M178" si="19">COUNTIF(J$7:J$136,$B174)</f>
        <v>0</v>
      </c>
      <c r="E174" s="38">
        <f t="shared" si="19"/>
        <v>3</v>
      </c>
      <c r="F174" s="38">
        <f t="shared" si="19"/>
        <v>0</v>
      </c>
      <c r="G174" s="38">
        <f t="shared" si="19"/>
        <v>3</v>
      </c>
      <c r="H174" s="38">
        <f t="shared" si="19"/>
        <v>1</v>
      </c>
      <c r="I174" s="38">
        <f t="shared" si="19"/>
        <v>3</v>
      </c>
      <c r="J174" s="38">
        <f t="shared" si="19"/>
        <v>5</v>
      </c>
      <c r="K174" s="38">
        <f t="shared" si="19"/>
        <v>3</v>
      </c>
      <c r="L174" s="38">
        <f t="shared" si="19"/>
        <v>0</v>
      </c>
      <c r="M174" s="38">
        <f t="shared" si="19"/>
        <v>4</v>
      </c>
      <c r="N174" s="37">
        <f t="shared" ref="N174:W178" si="20">COUNTIF(T$7:T$136,$B174)</f>
        <v>4</v>
      </c>
      <c r="O174" s="38">
        <f t="shared" si="20"/>
        <v>4</v>
      </c>
      <c r="P174" s="38">
        <f t="shared" si="20"/>
        <v>13</v>
      </c>
      <c r="Q174" s="38">
        <f t="shared" si="20"/>
        <v>11</v>
      </c>
      <c r="R174" s="38">
        <f t="shared" si="20"/>
        <v>14</v>
      </c>
      <c r="S174" s="38">
        <f t="shared" si="20"/>
        <v>20</v>
      </c>
      <c r="T174" s="38">
        <f t="shared" si="20"/>
        <v>3</v>
      </c>
      <c r="U174" s="38">
        <f t="shared" si="20"/>
        <v>3</v>
      </c>
      <c r="V174" s="38">
        <f t="shared" si="20"/>
        <v>7</v>
      </c>
      <c r="W174" s="38">
        <f t="shared" si="20"/>
        <v>4</v>
      </c>
      <c r="X174" s="38">
        <f t="shared" ref="X174:AG178" si="21">COUNTIF(AD$7:AD$136,$B174)</f>
        <v>1</v>
      </c>
      <c r="Y174" s="38">
        <f t="shared" si="21"/>
        <v>2</v>
      </c>
      <c r="Z174" s="38">
        <f t="shared" si="21"/>
        <v>1</v>
      </c>
      <c r="AA174" s="38">
        <f t="shared" si="21"/>
        <v>15</v>
      </c>
      <c r="AB174" s="38">
        <f t="shared" si="21"/>
        <v>22</v>
      </c>
      <c r="AC174" s="38">
        <f t="shared" si="21"/>
        <v>21</v>
      </c>
      <c r="AD174" s="38">
        <f t="shared" si="21"/>
        <v>3</v>
      </c>
      <c r="AE174" s="38">
        <f t="shared" si="21"/>
        <v>3</v>
      </c>
      <c r="AF174" s="38">
        <f t="shared" si="21"/>
        <v>4</v>
      </c>
      <c r="AG174" s="38">
        <f t="shared" si="21"/>
        <v>3</v>
      </c>
      <c r="AH174" s="38">
        <f t="shared" ref="AH174:AO178" si="22">COUNTIF(AN$7:AN$136,$B174)</f>
        <v>7</v>
      </c>
      <c r="AI174" s="38">
        <f t="shared" si="22"/>
        <v>23</v>
      </c>
      <c r="AJ174" s="38">
        <f t="shared" si="22"/>
        <v>3</v>
      </c>
      <c r="AK174" s="38">
        <f t="shared" si="22"/>
        <v>23</v>
      </c>
      <c r="AL174" s="38">
        <f t="shared" si="22"/>
        <v>5</v>
      </c>
      <c r="AM174" s="38">
        <f t="shared" si="22"/>
        <v>3</v>
      </c>
      <c r="AN174" s="38">
        <f t="shared" si="22"/>
        <v>11</v>
      </c>
      <c r="AO174" s="38">
        <f t="shared" si="22"/>
        <v>12</v>
      </c>
      <c r="AP174" s="38" t="e">
        <f>COUNTIF(#REF!,$B174)</f>
        <v>#REF!</v>
      </c>
      <c r="AQ174" s="38" t="e">
        <f>COUNTIF(#REF!,$B174)</f>
        <v>#REF!</v>
      </c>
      <c r="AR174" s="38" t="e">
        <f>COUNTIF(#REF!,$B174)</f>
        <v>#REF!</v>
      </c>
      <c r="AS174" s="38" t="e">
        <f>COUNTIF(#REF!,$B174)</f>
        <v>#REF!</v>
      </c>
      <c r="AT174" s="38" t="e">
        <f>COUNTIF(#REF!,$B174)</f>
        <v>#REF!</v>
      </c>
      <c r="AU174" s="38" t="e">
        <f>COUNTIF(#REF!,$B174)</f>
        <v>#REF!</v>
      </c>
      <c r="AV174" s="6"/>
      <c r="AW174" s="6"/>
      <c r="AX174" s="6"/>
      <c r="AY174" s="6"/>
      <c r="AZ174" s="6"/>
      <c r="BA174" s="6"/>
      <c r="BB174" s="6"/>
      <c r="BC174" s="6"/>
      <c r="BD174" s="6"/>
      <c r="BE174" s="6"/>
      <c r="BF174" s="6"/>
      <c r="BG174" s="6"/>
    </row>
    <row r="175" spans="1:59" ht="15.75" customHeight="1" x14ac:dyDescent="0.2">
      <c r="A175" s="6"/>
      <c r="B175" s="39" t="s">
        <v>6</v>
      </c>
      <c r="C175" s="39"/>
      <c r="D175" s="37">
        <f t="shared" si="19"/>
        <v>0</v>
      </c>
      <c r="E175" s="38">
        <f t="shared" si="19"/>
        <v>3</v>
      </c>
      <c r="F175" s="38">
        <f t="shared" si="19"/>
        <v>0</v>
      </c>
      <c r="G175" s="38">
        <f t="shared" si="19"/>
        <v>2</v>
      </c>
      <c r="H175" s="38">
        <f t="shared" si="19"/>
        <v>3</v>
      </c>
      <c r="I175" s="38">
        <f t="shared" si="19"/>
        <v>1</v>
      </c>
      <c r="J175" s="38">
        <f t="shared" si="19"/>
        <v>10</v>
      </c>
      <c r="K175" s="38">
        <f t="shared" si="19"/>
        <v>10</v>
      </c>
      <c r="L175" s="38">
        <f t="shared" si="19"/>
        <v>2</v>
      </c>
      <c r="M175" s="38">
        <f t="shared" si="19"/>
        <v>13</v>
      </c>
      <c r="N175" s="37">
        <f t="shared" si="20"/>
        <v>7</v>
      </c>
      <c r="O175" s="38">
        <f t="shared" si="20"/>
        <v>14</v>
      </c>
      <c r="P175" s="38">
        <f t="shared" si="20"/>
        <v>30</v>
      </c>
      <c r="Q175" s="38">
        <f t="shared" si="20"/>
        <v>7</v>
      </c>
      <c r="R175" s="38">
        <f t="shared" si="20"/>
        <v>13</v>
      </c>
      <c r="S175" s="38">
        <f t="shared" si="20"/>
        <v>15</v>
      </c>
      <c r="T175" s="38">
        <f t="shared" si="20"/>
        <v>7</v>
      </c>
      <c r="U175" s="38">
        <f t="shared" si="20"/>
        <v>4</v>
      </c>
      <c r="V175" s="38">
        <f t="shared" si="20"/>
        <v>9</v>
      </c>
      <c r="W175" s="38">
        <f t="shared" si="20"/>
        <v>4</v>
      </c>
      <c r="X175" s="38">
        <f t="shared" si="21"/>
        <v>6</v>
      </c>
      <c r="Y175" s="38">
        <f t="shared" si="21"/>
        <v>6</v>
      </c>
      <c r="Z175" s="38">
        <f t="shared" si="21"/>
        <v>2</v>
      </c>
      <c r="AA175" s="38">
        <f t="shared" si="21"/>
        <v>24</v>
      </c>
      <c r="AB175" s="38">
        <f t="shared" si="21"/>
        <v>26</v>
      </c>
      <c r="AC175" s="38">
        <f t="shared" si="21"/>
        <v>32</v>
      </c>
      <c r="AD175" s="38">
        <f t="shared" si="21"/>
        <v>9</v>
      </c>
      <c r="AE175" s="38">
        <f t="shared" si="21"/>
        <v>5</v>
      </c>
      <c r="AF175" s="38">
        <f t="shared" si="21"/>
        <v>5</v>
      </c>
      <c r="AG175" s="38">
        <f t="shared" si="21"/>
        <v>6</v>
      </c>
      <c r="AH175" s="38">
        <f t="shared" si="22"/>
        <v>16</v>
      </c>
      <c r="AI175" s="38">
        <f t="shared" si="22"/>
        <v>18</v>
      </c>
      <c r="AJ175" s="38">
        <f t="shared" si="22"/>
        <v>7</v>
      </c>
      <c r="AK175" s="38">
        <f t="shared" si="22"/>
        <v>20</v>
      </c>
      <c r="AL175" s="38">
        <f t="shared" si="22"/>
        <v>8</v>
      </c>
      <c r="AM175" s="38">
        <f t="shared" si="22"/>
        <v>7</v>
      </c>
      <c r="AN175" s="38">
        <f t="shared" si="22"/>
        <v>14</v>
      </c>
      <c r="AO175" s="38">
        <f t="shared" si="22"/>
        <v>11</v>
      </c>
      <c r="AP175" s="38" t="e">
        <f>COUNTIF(#REF!,$B175)</f>
        <v>#REF!</v>
      </c>
      <c r="AQ175" s="38" t="e">
        <f>COUNTIF(#REF!,$B175)</f>
        <v>#REF!</v>
      </c>
      <c r="AR175" s="38" t="e">
        <f>COUNTIF(#REF!,$B175)</f>
        <v>#REF!</v>
      </c>
      <c r="AS175" s="38" t="e">
        <f>COUNTIF(#REF!,$B175)</f>
        <v>#REF!</v>
      </c>
      <c r="AT175" s="38" t="e">
        <f>COUNTIF(#REF!,$B175)</f>
        <v>#REF!</v>
      </c>
      <c r="AU175" s="38" t="e">
        <f>COUNTIF(#REF!,$B175)</f>
        <v>#REF!</v>
      </c>
      <c r="AV175" s="6"/>
      <c r="AW175" s="6"/>
      <c r="AX175" s="6"/>
      <c r="AY175" s="6"/>
      <c r="AZ175" s="6"/>
      <c r="BA175" s="6"/>
      <c r="BB175" s="6"/>
      <c r="BC175" s="6"/>
      <c r="BD175" s="6"/>
      <c r="BE175" s="6"/>
      <c r="BF175" s="6"/>
      <c r="BG175" s="6"/>
    </row>
    <row r="176" spans="1:59" ht="15.75" customHeight="1" x14ac:dyDescent="0.2">
      <c r="A176" s="6"/>
      <c r="B176" s="39" t="s">
        <v>7</v>
      </c>
      <c r="C176" s="39"/>
      <c r="D176" s="37">
        <f t="shared" si="19"/>
        <v>12</v>
      </c>
      <c r="E176" s="38">
        <f t="shared" si="19"/>
        <v>28</v>
      </c>
      <c r="F176" s="38">
        <f t="shared" si="19"/>
        <v>5</v>
      </c>
      <c r="G176" s="38">
        <f t="shared" si="19"/>
        <v>23</v>
      </c>
      <c r="H176" s="38">
        <f t="shared" si="19"/>
        <v>20</v>
      </c>
      <c r="I176" s="38">
        <f t="shared" si="19"/>
        <v>7</v>
      </c>
      <c r="J176" s="38">
        <f t="shared" si="19"/>
        <v>33</v>
      </c>
      <c r="K176" s="38">
        <f t="shared" si="19"/>
        <v>22</v>
      </c>
      <c r="L176" s="38">
        <f t="shared" si="19"/>
        <v>19</v>
      </c>
      <c r="M176" s="38">
        <f t="shared" si="19"/>
        <v>23</v>
      </c>
      <c r="N176" s="37">
        <f t="shared" si="20"/>
        <v>24</v>
      </c>
      <c r="O176" s="38">
        <f t="shared" si="20"/>
        <v>31</v>
      </c>
      <c r="P176" s="38">
        <f t="shared" si="20"/>
        <v>33</v>
      </c>
      <c r="Q176" s="38">
        <f t="shared" si="20"/>
        <v>27</v>
      </c>
      <c r="R176" s="38">
        <f t="shared" si="20"/>
        <v>34</v>
      </c>
      <c r="S176" s="38">
        <f t="shared" si="20"/>
        <v>26</v>
      </c>
      <c r="T176" s="38">
        <f t="shared" si="20"/>
        <v>25</v>
      </c>
      <c r="U176" s="38">
        <f t="shared" si="20"/>
        <v>25</v>
      </c>
      <c r="V176" s="38">
        <f t="shared" si="20"/>
        <v>34</v>
      </c>
      <c r="W176" s="38">
        <f t="shared" si="20"/>
        <v>21</v>
      </c>
      <c r="X176" s="38">
        <f t="shared" si="21"/>
        <v>11</v>
      </c>
      <c r="Y176" s="38">
        <f t="shared" si="21"/>
        <v>9</v>
      </c>
      <c r="Z176" s="38">
        <f t="shared" si="21"/>
        <v>28</v>
      </c>
      <c r="AA176" s="38">
        <f t="shared" si="21"/>
        <v>32</v>
      </c>
      <c r="AB176" s="38">
        <f t="shared" si="21"/>
        <v>32</v>
      </c>
      <c r="AC176" s="38">
        <f t="shared" si="21"/>
        <v>31</v>
      </c>
      <c r="AD176" s="38">
        <f t="shared" si="21"/>
        <v>18</v>
      </c>
      <c r="AE176" s="38">
        <f t="shared" si="21"/>
        <v>26</v>
      </c>
      <c r="AF176" s="38">
        <f t="shared" si="21"/>
        <v>30</v>
      </c>
      <c r="AG176" s="38">
        <f t="shared" si="21"/>
        <v>29</v>
      </c>
      <c r="AH176" s="38">
        <f t="shared" si="22"/>
        <v>37</v>
      </c>
      <c r="AI176" s="38">
        <f t="shared" si="22"/>
        <v>44</v>
      </c>
      <c r="AJ176" s="38">
        <f t="shared" si="22"/>
        <v>20</v>
      </c>
      <c r="AK176" s="38">
        <f t="shared" si="22"/>
        <v>28</v>
      </c>
      <c r="AL176" s="38">
        <f t="shared" si="22"/>
        <v>21</v>
      </c>
      <c r="AM176" s="38">
        <f t="shared" si="22"/>
        <v>24</v>
      </c>
      <c r="AN176" s="38">
        <f t="shared" si="22"/>
        <v>29</v>
      </c>
      <c r="AO176" s="38">
        <f t="shared" si="22"/>
        <v>20</v>
      </c>
      <c r="AP176" s="38" t="e">
        <f>COUNTIF(#REF!,$B176)</f>
        <v>#REF!</v>
      </c>
      <c r="AQ176" s="38" t="e">
        <f>COUNTIF(#REF!,$B176)</f>
        <v>#REF!</v>
      </c>
      <c r="AR176" s="38" t="e">
        <f>COUNTIF(#REF!,$B176)</f>
        <v>#REF!</v>
      </c>
      <c r="AS176" s="38" t="e">
        <f>COUNTIF(#REF!,$B176)</f>
        <v>#REF!</v>
      </c>
      <c r="AT176" s="38" t="e">
        <f>COUNTIF(#REF!,$B176)</f>
        <v>#REF!</v>
      </c>
      <c r="AU176" s="38" t="e">
        <f>COUNTIF(#REF!,$B176)</f>
        <v>#REF!</v>
      </c>
      <c r="AV176" s="6"/>
      <c r="AW176" s="6"/>
      <c r="AX176" s="6"/>
      <c r="AY176" s="6"/>
      <c r="AZ176" s="6"/>
      <c r="BA176" s="6"/>
      <c r="BB176" s="6"/>
      <c r="BC176" s="6"/>
      <c r="BD176" s="6"/>
      <c r="BE176" s="6"/>
      <c r="BF176" s="6"/>
      <c r="BG176" s="6"/>
    </row>
    <row r="177" spans="1:59" ht="15.75" customHeight="1" x14ac:dyDescent="0.2">
      <c r="A177" s="6"/>
      <c r="B177" s="39" t="s">
        <v>8</v>
      </c>
      <c r="C177" s="39"/>
      <c r="D177" s="37">
        <f t="shared" si="19"/>
        <v>46</v>
      </c>
      <c r="E177" s="38">
        <f t="shared" si="19"/>
        <v>49</v>
      </c>
      <c r="F177" s="38">
        <f t="shared" si="19"/>
        <v>26</v>
      </c>
      <c r="G177" s="38">
        <f t="shared" si="19"/>
        <v>44</v>
      </c>
      <c r="H177" s="38">
        <f t="shared" si="19"/>
        <v>51</v>
      </c>
      <c r="I177" s="38">
        <f t="shared" si="19"/>
        <v>50</v>
      </c>
      <c r="J177" s="38">
        <f t="shared" si="19"/>
        <v>37</v>
      </c>
      <c r="K177" s="38">
        <f t="shared" si="19"/>
        <v>43</v>
      </c>
      <c r="L177" s="38">
        <f t="shared" si="19"/>
        <v>42</v>
      </c>
      <c r="M177" s="38">
        <f t="shared" si="19"/>
        <v>34</v>
      </c>
      <c r="N177" s="37">
        <f t="shared" si="20"/>
        <v>38</v>
      </c>
      <c r="O177" s="38">
        <f t="shared" si="20"/>
        <v>45</v>
      </c>
      <c r="P177" s="38">
        <f t="shared" si="20"/>
        <v>34</v>
      </c>
      <c r="Q177" s="38">
        <f t="shared" si="20"/>
        <v>35</v>
      </c>
      <c r="R177" s="38">
        <f t="shared" si="20"/>
        <v>28</v>
      </c>
      <c r="S177" s="38">
        <f t="shared" si="20"/>
        <v>38</v>
      </c>
      <c r="T177" s="38">
        <f t="shared" si="20"/>
        <v>35</v>
      </c>
      <c r="U177" s="38">
        <f t="shared" si="20"/>
        <v>41</v>
      </c>
      <c r="V177" s="38">
        <f t="shared" si="20"/>
        <v>38</v>
      </c>
      <c r="W177" s="38">
        <f t="shared" si="20"/>
        <v>49</v>
      </c>
      <c r="X177" s="38">
        <f t="shared" si="21"/>
        <v>57</v>
      </c>
      <c r="Y177" s="38">
        <f t="shared" si="21"/>
        <v>48</v>
      </c>
      <c r="Z177" s="38">
        <f t="shared" si="21"/>
        <v>56</v>
      </c>
      <c r="AA177" s="38">
        <f t="shared" si="21"/>
        <v>33</v>
      </c>
      <c r="AB177" s="38">
        <f t="shared" si="21"/>
        <v>26</v>
      </c>
      <c r="AC177" s="38">
        <f t="shared" si="21"/>
        <v>29</v>
      </c>
      <c r="AD177" s="38">
        <f t="shared" si="21"/>
        <v>49</v>
      </c>
      <c r="AE177" s="38">
        <f t="shared" si="21"/>
        <v>49</v>
      </c>
      <c r="AF177" s="38">
        <f t="shared" si="21"/>
        <v>47</v>
      </c>
      <c r="AG177" s="38">
        <f t="shared" si="21"/>
        <v>52</v>
      </c>
      <c r="AH177" s="38">
        <f t="shared" si="22"/>
        <v>42</v>
      </c>
      <c r="AI177" s="38">
        <f t="shared" si="22"/>
        <v>21</v>
      </c>
      <c r="AJ177" s="38">
        <f t="shared" si="22"/>
        <v>44</v>
      </c>
      <c r="AK177" s="38">
        <f t="shared" si="22"/>
        <v>35</v>
      </c>
      <c r="AL177" s="38">
        <f t="shared" si="22"/>
        <v>40</v>
      </c>
      <c r="AM177" s="38">
        <f t="shared" si="22"/>
        <v>48</v>
      </c>
      <c r="AN177" s="38">
        <f t="shared" si="22"/>
        <v>46</v>
      </c>
      <c r="AO177" s="38">
        <f t="shared" si="22"/>
        <v>40</v>
      </c>
      <c r="AP177" s="38" t="e">
        <f>COUNTIF(#REF!,$B177)</f>
        <v>#REF!</v>
      </c>
      <c r="AQ177" s="38" t="e">
        <f>COUNTIF(#REF!,$B177)</f>
        <v>#REF!</v>
      </c>
      <c r="AR177" s="38" t="e">
        <f>COUNTIF(#REF!,$B177)</f>
        <v>#REF!</v>
      </c>
      <c r="AS177" s="38" t="e">
        <f>COUNTIF(#REF!,$B177)</f>
        <v>#REF!</v>
      </c>
      <c r="AT177" s="38" t="e">
        <f>COUNTIF(#REF!,$B177)</f>
        <v>#REF!</v>
      </c>
      <c r="AU177" s="38" t="e">
        <f>COUNTIF(#REF!,$B177)</f>
        <v>#REF!</v>
      </c>
      <c r="AV177" s="6"/>
      <c r="AW177" s="6"/>
      <c r="AX177" s="6"/>
      <c r="AY177" s="6"/>
      <c r="AZ177" s="6"/>
      <c r="BA177" s="6"/>
      <c r="BB177" s="6"/>
      <c r="BC177" s="6"/>
      <c r="BD177" s="6"/>
      <c r="BE177" s="6"/>
      <c r="BF177" s="6"/>
      <c r="BG177" s="6"/>
    </row>
    <row r="178" spans="1:59" ht="15.75" customHeight="1" x14ac:dyDescent="0.2">
      <c r="A178" s="6"/>
      <c r="B178" s="40" t="s">
        <v>9</v>
      </c>
      <c r="C178" s="101"/>
      <c r="D178" s="37">
        <f t="shared" si="19"/>
        <v>72</v>
      </c>
      <c r="E178" s="38">
        <f t="shared" si="19"/>
        <v>47</v>
      </c>
      <c r="F178" s="38">
        <f t="shared" si="19"/>
        <v>99</v>
      </c>
      <c r="G178" s="38">
        <f t="shared" si="19"/>
        <v>58</v>
      </c>
      <c r="H178" s="38">
        <f t="shared" si="19"/>
        <v>55</v>
      </c>
      <c r="I178" s="38">
        <f t="shared" si="19"/>
        <v>69</v>
      </c>
      <c r="J178" s="38">
        <f t="shared" si="19"/>
        <v>45</v>
      </c>
      <c r="K178" s="38">
        <f t="shared" si="19"/>
        <v>52</v>
      </c>
      <c r="L178" s="38">
        <f t="shared" si="19"/>
        <v>67</v>
      </c>
      <c r="M178" s="38">
        <f t="shared" si="19"/>
        <v>56</v>
      </c>
      <c r="N178" s="37">
        <f t="shared" si="20"/>
        <v>57</v>
      </c>
      <c r="O178" s="38">
        <f t="shared" si="20"/>
        <v>36</v>
      </c>
      <c r="P178" s="38">
        <f t="shared" si="20"/>
        <v>20</v>
      </c>
      <c r="Q178" s="38">
        <f t="shared" si="20"/>
        <v>50</v>
      </c>
      <c r="R178" s="38">
        <f t="shared" si="20"/>
        <v>41</v>
      </c>
      <c r="S178" s="38">
        <f t="shared" si="20"/>
        <v>31</v>
      </c>
      <c r="T178" s="38">
        <f t="shared" si="20"/>
        <v>60</v>
      </c>
      <c r="U178" s="38">
        <f t="shared" si="20"/>
        <v>57</v>
      </c>
      <c r="V178" s="38">
        <f t="shared" si="20"/>
        <v>42</v>
      </c>
      <c r="W178" s="38">
        <f t="shared" si="20"/>
        <v>52</v>
      </c>
      <c r="X178" s="38">
        <f t="shared" si="21"/>
        <v>55</v>
      </c>
      <c r="Y178" s="38">
        <f t="shared" si="21"/>
        <v>65</v>
      </c>
      <c r="Z178" s="38">
        <f t="shared" si="21"/>
        <v>43</v>
      </c>
      <c r="AA178" s="38">
        <f t="shared" si="21"/>
        <v>26</v>
      </c>
      <c r="AB178" s="38">
        <f t="shared" si="21"/>
        <v>24</v>
      </c>
      <c r="AC178" s="38">
        <f t="shared" si="21"/>
        <v>17</v>
      </c>
      <c r="AD178" s="38">
        <f t="shared" si="21"/>
        <v>51</v>
      </c>
      <c r="AE178" s="38">
        <f t="shared" si="21"/>
        <v>47</v>
      </c>
      <c r="AF178" s="38">
        <f t="shared" si="21"/>
        <v>44</v>
      </c>
      <c r="AG178" s="38">
        <f t="shared" si="21"/>
        <v>40</v>
      </c>
      <c r="AH178" s="38">
        <f t="shared" si="22"/>
        <v>28</v>
      </c>
      <c r="AI178" s="38">
        <f t="shared" si="22"/>
        <v>24</v>
      </c>
      <c r="AJ178" s="38">
        <f t="shared" si="22"/>
        <v>56</v>
      </c>
      <c r="AK178" s="38">
        <f t="shared" si="22"/>
        <v>24</v>
      </c>
      <c r="AL178" s="38">
        <f t="shared" si="22"/>
        <v>56</v>
      </c>
      <c r="AM178" s="38">
        <f t="shared" si="22"/>
        <v>48</v>
      </c>
      <c r="AN178" s="38">
        <f t="shared" si="22"/>
        <v>30</v>
      </c>
      <c r="AO178" s="38">
        <f t="shared" si="22"/>
        <v>47</v>
      </c>
      <c r="AP178" s="38" t="e">
        <f>COUNTIF(#REF!,$B178)</f>
        <v>#REF!</v>
      </c>
      <c r="AQ178" s="38" t="e">
        <f>COUNTIF(#REF!,$B178)</f>
        <v>#REF!</v>
      </c>
      <c r="AR178" s="38" t="e">
        <f>COUNTIF(#REF!,$B178)</f>
        <v>#REF!</v>
      </c>
      <c r="AS178" s="38" t="e">
        <f>COUNTIF(#REF!,$B178)</f>
        <v>#REF!</v>
      </c>
      <c r="AT178" s="38" t="e">
        <f>COUNTIF(#REF!,$B178)</f>
        <v>#REF!</v>
      </c>
      <c r="AU178" s="38" t="e">
        <f>COUNTIF(#REF!,$B178)</f>
        <v>#REF!</v>
      </c>
      <c r="AV178" s="6"/>
      <c r="AW178" s="6"/>
      <c r="AX178" s="6"/>
      <c r="AY178" s="6"/>
      <c r="AZ178" s="6"/>
      <c r="BA178" s="6"/>
      <c r="BB178" s="6"/>
      <c r="BC178" s="6"/>
      <c r="BD178" s="6"/>
      <c r="BE178" s="6"/>
      <c r="BF178" s="6"/>
      <c r="BG178" s="6"/>
    </row>
    <row r="179" spans="1:59" ht="15.75" customHeight="1" x14ac:dyDescent="0.2">
      <c r="A179" s="6"/>
      <c r="B179" s="41" t="s">
        <v>271</v>
      </c>
      <c r="C179" s="41"/>
      <c r="D179" s="20">
        <f t="shared" ref="D179:AU179" si="23">SUM(D174:D178)</f>
        <v>130</v>
      </c>
      <c r="E179" s="35">
        <f t="shared" si="23"/>
        <v>130</v>
      </c>
      <c r="F179" s="35">
        <f t="shared" si="23"/>
        <v>130</v>
      </c>
      <c r="G179" s="35">
        <f t="shared" si="23"/>
        <v>130</v>
      </c>
      <c r="H179" s="35">
        <f t="shared" si="23"/>
        <v>130</v>
      </c>
      <c r="I179" s="35">
        <f t="shared" si="23"/>
        <v>130</v>
      </c>
      <c r="J179" s="35">
        <f t="shared" si="23"/>
        <v>130</v>
      </c>
      <c r="K179" s="35">
        <f t="shared" si="23"/>
        <v>130</v>
      </c>
      <c r="L179" s="35">
        <f t="shared" si="23"/>
        <v>130</v>
      </c>
      <c r="M179" s="35">
        <f t="shared" si="23"/>
        <v>130</v>
      </c>
      <c r="N179" s="20">
        <f t="shared" si="23"/>
        <v>130</v>
      </c>
      <c r="O179" s="35">
        <f t="shared" si="23"/>
        <v>130</v>
      </c>
      <c r="P179" s="35">
        <f t="shared" si="23"/>
        <v>130</v>
      </c>
      <c r="Q179" s="35">
        <f t="shared" si="23"/>
        <v>130</v>
      </c>
      <c r="R179" s="35">
        <f t="shared" si="23"/>
        <v>130</v>
      </c>
      <c r="S179" s="35">
        <f t="shared" si="23"/>
        <v>130</v>
      </c>
      <c r="T179" s="35">
        <f t="shared" si="23"/>
        <v>130</v>
      </c>
      <c r="U179" s="35">
        <f t="shared" si="23"/>
        <v>130</v>
      </c>
      <c r="V179" s="35">
        <f t="shared" si="23"/>
        <v>130</v>
      </c>
      <c r="W179" s="35">
        <f t="shared" si="23"/>
        <v>130</v>
      </c>
      <c r="X179" s="35">
        <f t="shared" si="23"/>
        <v>130</v>
      </c>
      <c r="Y179" s="35">
        <f t="shared" si="23"/>
        <v>130</v>
      </c>
      <c r="Z179" s="35">
        <f t="shared" si="23"/>
        <v>130</v>
      </c>
      <c r="AA179" s="35">
        <f t="shared" si="23"/>
        <v>130</v>
      </c>
      <c r="AB179" s="35">
        <f t="shared" si="23"/>
        <v>130</v>
      </c>
      <c r="AC179" s="35">
        <f t="shared" si="23"/>
        <v>130</v>
      </c>
      <c r="AD179" s="35">
        <f t="shared" si="23"/>
        <v>130</v>
      </c>
      <c r="AE179" s="35">
        <f t="shared" si="23"/>
        <v>130</v>
      </c>
      <c r="AF179" s="35">
        <f t="shared" si="23"/>
        <v>130</v>
      </c>
      <c r="AG179" s="35">
        <f t="shared" si="23"/>
        <v>130</v>
      </c>
      <c r="AH179" s="35">
        <f t="shared" si="23"/>
        <v>130</v>
      </c>
      <c r="AI179" s="35">
        <f t="shared" si="23"/>
        <v>130</v>
      </c>
      <c r="AJ179" s="35">
        <f t="shared" si="23"/>
        <v>130</v>
      </c>
      <c r="AK179" s="35">
        <f t="shared" si="23"/>
        <v>130</v>
      </c>
      <c r="AL179" s="35">
        <f t="shared" si="23"/>
        <v>130</v>
      </c>
      <c r="AM179" s="35">
        <f t="shared" si="23"/>
        <v>130</v>
      </c>
      <c r="AN179" s="35">
        <f t="shared" si="23"/>
        <v>130</v>
      </c>
      <c r="AO179" s="35">
        <f t="shared" si="23"/>
        <v>130</v>
      </c>
      <c r="AP179" s="35" t="e">
        <f t="shared" si="23"/>
        <v>#REF!</v>
      </c>
      <c r="AQ179" s="35" t="e">
        <f t="shared" si="23"/>
        <v>#REF!</v>
      </c>
      <c r="AR179" s="35" t="e">
        <f t="shared" si="23"/>
        <v>#REF!</v>
      </c>
      <c r="AS179" s="35" t="e">
        <f t="shared" si="23"/>
        <v>#REF!</v>
      </c>
      <c r="AT179" s="35" t="e">
        <f t="shared" si="23"/>
        <v>#REF!</v>
      </c>
      <c r="AU179" s="35" t="e">
        <f t="shared" si="23"/>
        <v>#REF!</v>
      </c>
      <c r="AV179" s="6"/>
      <c r="AW179" s="6"/>
      <c r="AX179" s="6"/>
      <c r="AY179" s="6"/>
      <c r="AZ179" s="6"/>
      <c r="BA179" s="6"/>
      <c r="BB179" s="6"/>
      <c r="BC179" s="6"/>
      <c r="BD179" s="6"/>
      <c r="BE179" s="6"/>
      <c r="BF179" s="6"/>
      <c r="BG179" s="6"/>
    </row>
    <row r="180" spans="1:59" ht="15.7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row>
    <row r="181" spans="1:59" ht="15.7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row>
    <row r="182" spans="1:59" ht="15.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row>
    <row r="183" spans="1:59" ht="15.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row>
    <row r="184" spans="1:59" ht="15.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row>
    <row r="185" spans="1:59" ht="15.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row>
    <row r="186" spans="1:59"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row>
    <row r="187" spans="1:59"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row>
    <row r="188" spans="1:59"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row>
    <row r="189" spans="1:59"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row>
    <row r="190" spans="1:59"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row>
    <row r="191" spans="1:59"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row>
    <row r="192" spans="1:59"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row>
    <row r="193" spans="1:59"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row>
    <row r="194" spans="1:59"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row>
    <row r="195" spans="1:59"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row>
    <row r="196" spans="1:59"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row>
    <row r="197" spans="1:59"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row>
    <row r="198" spans="1:59"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row>
    <row r="199" spans="1:59"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row>
    <row r="200" spans="1:59"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row>
    <row r="201" spans="1:59"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row>
    <row r="202" spans="1:59"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row>
    <row r="203" spans="1:59"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row>
    <row r="204" spans="1:59"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row>
    <row r="205" spans="1:59"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row>
    <row r="206" spans="1:59"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row>
    <row r="207" spans="1:59"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row>
    <row r="208" spans="1:59"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row>
    <row r="209" spans="1:59"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row>
    <row r="210" spans="1:59"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row>
    <row r="211" spans="1:59"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row>
    <row r="212" spans="1:59"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row>
    <row r="213" spans="1:59"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row>
    <row r="214" spans="1:59"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row>
    <row r="215" spans="1:59"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row>
    <row r="216" spans="1:59"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row>
    <row r="217" spans="1:59"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row>
    <row r="218" spans="1:59"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row>
    <row r="219" spans="1:59"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row>
    <row r="220" spans="1:59"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row>
    <row r="221" spans="1:59"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row>
    <row r="222" spans="1:59"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row>
    <row r="223" spans="1:59"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row>
    <row r="224" spans="1:59"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row>
    <row r="225" spans="1:59"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row>
    <row r="226" spans="1:59"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row>
    <row r="227" spans="1:59"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row>
    <row r="228" spans="1:59"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row>
    <row r="229" spans="1:59"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row>
    <row r="230" spans="1:59"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row>
    <row r="231" spans="1:59"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row>
    <row r="232" spans="1:59"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row>
    <row r="233" spans="1:59"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row>
    <row r="234" spans="1:59"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row>
    <row r="235" spans="1:59"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row>
    <row r="236" spans="1:59"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row>
    <row r="237" spans="1:59"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row>
    <row r="238" spans="1:59"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row>
    <row r="239" spans="1:59"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row>
    <row r="240" spans="1:59"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row>
    <row r="241" spans="1:59"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row>
    <row r="242" spans="1:59"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row>
    <row r="243" spans="1:59"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row>
    <row r="244" spans="1:59"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row>
    <row r="245" spans="1:59"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row>
    <row r="246" spans="1:59"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row>
    <row r="247" spans="1:59"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row>
    <row r="248" spans="1:59"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row>
    <row r="249" spans="1:59"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row>
    <row r="250" spans="1:59"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row>
    <row r="251" spans="1:59"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row>
    <row r="252" spans="1:59"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row>
    <row r="253" spans="1:59"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row>
    <row r="254" spans="1:59"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row>
    <row r="255" spans="1:59"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row>
    <row r="256" spans="1:59"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row>
    <row r="257" spans="1:59"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row>
    <row r="258" spans="1:59"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row>
    <row r="259" spans="1:59"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row>
    <row r="260" spans="1:59"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row>
    <row r="261" spans="1:59"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row>
    <row r="262" spans="1:59"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row>
    <row r="263" spans="1:59"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row>
    <row r="264" spans="1:59"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row>
    <row r="265" spans="1:59"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row>
    <row r="266" spans="1:59"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row>
    <row r="267" spans="1:59"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row>
    <row r="268" spans="1:59"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row>
    <row r="269" spans="1:59"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row>
    <row r="270" spans="1:59"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row>
    <row r="271" spans="1:59"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row>
    <row r="272" spans="1:59"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row>
    <row r="273" spans="1:59"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row>
    <row r="274" spans="1:59"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row>
    <row r="275" spans="1:59"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row>
    <row r="276" spans="1:59"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row>
    <row r="277" spans="1:59"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row>
    <row r="278" spans="1:59"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row>
    <row r="279" spans="1:59"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row>
    <row r="280" spans="1:59"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row>
    <row r="281" spans="1:59"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row>
    <row r="282" spans="1:59"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row>
    <row r="283" spans="1:59"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row>
    <row r="284" spans="1:59"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row>
    <row r="285" spans="1:59"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row>
    <row r="286" spans="1:59"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row>
    <row r="287" spans="1:59"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row>
    <row r="288" spans="1:59"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row>
    <row r="289" spans="1:59"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row>
    <row r="290" spans="1:59"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row>
    <row r="291" spans="1:59"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row>
    <row r="292" spans="1:59"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row>
    <row r="293" spans="1:59"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row>
    <row r="294" spans="1:59"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row>
    <row r="295" spans="1:59"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row>
    <row r="296" spans="1:59"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row>
    <row r="297" spans="1:59"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row>
    <row r="298" spans="1:59"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row>
    <row r="299" spans="1:59"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row>
    <row r="300" spans="1:59"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row>
    <row r="301" spans="1:59"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row>
    <row r="302" spans="1:59"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row>
    <row r="303" spans="1:59"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row>
    <row r="304" spans="1:59"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row>
    <row r="305" spans="1:59"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row>
    <row r="306" spans="1:59"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row>
    <row r="307" spans="1:59"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row>
    <row r="308" spans="1:59"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row>
    <row r="309" spans="1:59"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row>
    <row r="310" spans="1:59"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row>
    <row r="311" spans="1:59"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row>
    <row r="312" spans="1:59"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row>
    <row r="313" spans="1:59"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row>
    <row r="314" spans="1:59"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row>
    <row r="315" spans="1:59"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row>
    <row r="316" spans="1:59"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row>
    <row r="317" spans="1:59"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row>
    <row r="318" spans="1:59"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row>
    <row r="319" spans="1:59"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row>
    <row r="320" spans="1:59"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row>
    <row r="321" spans="1:59"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row>
    <row r="322" spans="1:59"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row>
    <row r="323" spans="1:59"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row>
    <row r="324" spans="1:59"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row>
    <row r="325" spans="1:59"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row>
    <row r="326" spans="1:59"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row>
    <row r="327" spans="1:59"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row>
    <row r="328" spans="1:59"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row>
    <row r="329" spans="1:59"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row>
    <row r="330" spans="1:59"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row>
    <row r="331" spans="1:59"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row>
    <row r="332" spans="1:59"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row>
    <row r="333" spans="1:59"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row>
    <row r="334" spans="1:59"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row>
    <row r="335" spans="1:59"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row>
    <row r="336" spans="1:59"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row>
    <row r="337" spans="1:59"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row>
    <row r="338" spans="1:59"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row>
    <row r="339" spans="1:59"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row>
    <row r="340" spans="1:59"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row>
    <row r="341" spans="1:59"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row>
    <row r="342" spans="1:59"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row>
    <row r="343" spans="1:59"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row>
    <row r="344" spans="1:59"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row>
    <row r="345" spans="1:59"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row>
    <row r="346" spans="1:59"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row>
    <row r="347" spans="1:59"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row>
    <row r="348" spans="1:59"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row>
    <row r="349" spans="1:59"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row>
    <row r="350" spans="1:59"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row>
    <row r="351" spans="1:59"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row>
    <row r="352" spans="1:59"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row>
    <row r="353" spans="1:59"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row>
    <row r="354" spans="1:59"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row>
    <row r="355" spans="1:59"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row>
    <row r="356" spans="1:59"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row>
    <row r="357" spans="1:59"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row>
    <row r="358" spans="1:59"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row>
    <row r="359" spans="1:59"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row>
    <row r="360" spans="1:59"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row>
    <row r="361" spans="1:59"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row>
    <row r="362" spans="1:59"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row>
    <row r="363" spans="1:59"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row>
    <row r="364" spans="1:59"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row>
    <row r="365" spans="1:59"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row>
    <row r="366" spans="1:59"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row>
    <row r="367" spans="1:59"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row>
    <row r="368" spans="1:59"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row>
    <row r="369" spans="1:59"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row>
    <row r="370" spans="1:59"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row>
    <row r="371" spans="1:59"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row>
    <row r="372" spans="1:59"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row>
    <row r="373" spans="1:59"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row>
    <row r="374" spans="1:59"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row>
    <row r="375" spans="1:59"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row>
    <row r="376" spans="1:59"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row>
    <row r="377" spans="1:59"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row>
    <row r="378" spans="1:59"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row>
    <row r="379" spans="1:59"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row>
    <row r="380" spans="1:59"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row>
    <row r="381" spans="1:59"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row>
    <row r="382" spans="1:59"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row>
    <row r="383" spans="1:59"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row>
    <row r="384" spans="1:59"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row>
    <row r="385" spans="1:59"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row>
    <row r="386" spans="1:59"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row>
    <row r="387" spans="1:59"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row>
    <row r="388" spans="1:59"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row>
    <row r="389" spans="1:59"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row>
    <row r="390" spans="1:59"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row>
    <row r="391" spans="1:59"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row>
    <row r="392" spans="1:59"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row>
    <row r="393" spans="1:59"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row>
    <row r="394" spans="1:59"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row>
    <row r="395" spans="1:59"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row>
    <row r="396" spans="1:59"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row>
    <row r="397" spans="1:59"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row>
    <row r="398" spans="1:59"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row>
    <row r="399" spans="1:59"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row>
    <row r="400" spans="1:59"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row>
    <row r="401" spans="1:59"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row>
    <row r="402" spans="1:59"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row>
    <row r="403" spans="1:59"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row>
    <row r="404" spans="1:59"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row>
    <row r="405" spans="1:59"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row>
    <row r="406" spans="1:59"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row>
    <row r="407" spans="1:59"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row>
    <row r="408" spans="1:59"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row>
    <row r="409" spans="1:59"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row>
    <row r="410" spans="1:59"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row>
    <row r="411" spans="1:59"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row>
    <row r="412" spans="1:59"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row>
    <row r="413" spans="1:59"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row>
    <row r="414" spans="1:59"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row>
    <row r="415" spans="1:59"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row>
    <row r="416" spans="1:59"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row>
    <row r="417" spans="1:59"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row>
    <row r="418" spans="1:59"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row>
    <row r="419" spans="1:59"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row>
    <row r="420" spans="1:59"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row>
    <row r="421" spans="1:59"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row>
    <row r="422" spans="1:59"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row>
    <row r="423" spans="1:59"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row>
    <row r="424" spans="1:59"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row>
    <row r="425" spans="1:59"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row>
    <row r="426" spans="1:59"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row>
    <row r="427" spans="1:59"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row>
    <row r="428" spans="1:59"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row>
    <row r="429" spans="1:59"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row>
    <row r="430" spans="1:59"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row>
    <row r="431" spans="1:59"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row>
    <row r="432" spans="1:59"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row>
    <row r="433" spans="1:59"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row>
    <row r="434" spans="1:59"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row>
    <row r="435" spans="1:59"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row>
    <row r="436" spans="1:59"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row>
    <row r="437" spans="1:59"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row>
    <row r="438" spans="1:59"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row>
    <row r="439" spans="1:59"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row>
    <row r="440" spans="1:59"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row>
    <row r="441" spans="1:59"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row>
    <row r="442" spans="1:59"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row>
    <row r="443" spans="1:59"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row>
    <row r="444" spans="1:59"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row>
    <row r="445" spans="1:59"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row>
    <row r="446" spans="1:59"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row>
    <row r="447" spans="1:59"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row>
    <row r="448" spans="1:59"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row>
    <row r="449" spans="1:59"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row>
    <row r="450" spans="1:59"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row>
    <row r="451" spans="1:59"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row>
    <row r="452" spans="1:59"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row>
    <row r="453" spans="1:59"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row>
    <row r="454" spans="1:59"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row>
    <row r="455" spans="1:59"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row>
    <row r="456" spans="1:59"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row>
    <row r="457" spans="1:59"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row>
    <row r="458" spans="1:59"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row>
    <row r="459" spans="1:59"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row>
    <row r="460" spans="1:59"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row>
    <row r="461" spans="1:59"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row>
    <row r="462" spans="1:59"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row>
    <row r="463" spans="1:59"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row>
    <row r="464" spans="1:59"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row>
    <row r="465" spans="1:59"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row>
    <row r="466" spans="1:59"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row>
    <row r="467" spans="1:59"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row>
    <row r="468" spans="1:59"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row>
    <row r="469" spans="1:59"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row>
    <row r="470" spans="1:59"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row>
    <row r="471" spans="1:59"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row>
    <row r="472" spans="1:59"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row>
    <row r="473" spans="1:59"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row>
    <row r="474" spans="1:59"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row>
    <row r="475" spans="1:59"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row>
    <row r="476" spans="1:59"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row>
    <row r="477" spans="1:59"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row>
    <row r="478" spans="1:59"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row>
    <row r="479" spans="1:59"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row>
    <row r="480" spans="1:59"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row>
    <row r="481" spans="1:59"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row>
    <row r="482" spans="1:59"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row>
    <row r="483" spans="1:59"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row>
    <row r="484" spans="1:59"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row>
    <row r="485" spans="1:59"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row>
    <row r="486" spans="1:59"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row>
    <row r="487" spans="1:59"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row>
    <row r="488" spans="1:59"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row>
    <row r="489" spans="1:59"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row>
    <row r="490" spans="1:59"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row>
    <row r="491" spans="1:59"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row>
    <row r="492" spans="1:59"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row>
    <row r="493" spans="1:59"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row>
    <row r="494" spans="1:59"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row>
    <row r="495" spans="1:59"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row>
    <row r="496" spans="1:59"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row>
    <row r="497" spans="1:59"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row>
    <row r="498" spans="1:59"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row>
    <row r="499" spans="1:59"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row>
    <row r="500" spans="1:59"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row>
    <row r="501" spans="1:59"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row>
    <row r="502" spans="1:59"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row>
    <row r="503" spans="1:59"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row>
    <row r="504" spans="1:59"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row>
    <row r="505" spans="1:59"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row>
    <row r="506" spans="1:59"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row>
    <row r="507" spans="1:59"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row>
    <row r="508" spans="1:59"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row>
    <row r="509" spans="1:59"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row>
    <row r="510" spans="1:59"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row>
    <row r="511" spans="1:59"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row>
    <row r="512" spans="1:59"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row>
    <row r="513" spans="1:59"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row>
    <row r="514" spans="1:59"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row>
    <row r="515" spans="1:59"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row>
    <row r="516" spans="1:59"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row>
    <row r="517" spans="1:59"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row>
    <row r="518" spans="1:59"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row>
    <row r="519" spans="1:59"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row>
    <row r="520" spans="1:59"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row>
    <row r="521" spans="1:59"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row>
    <row r="522" spans="1:59"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row>
    <row r="523" spans="1:59"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row>
    <row r="524" spans="1:59"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row>
    <row r="525" spans="1:59"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row>
    <row r="526" spans="1:59"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row>
    <row r="527" spans="1:59"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row>
    <row r="528" spans="1:59"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row>
    <row r="529" spans="1:59"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row>
    <row r="530" spans="1:59"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row>
    <row r="531" spans="1:59"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row>
    <row r="532" spans="1:59"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row>
    <row r="533" spans="1:59"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row>
    <row r="534" spans="1:59"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row>
    <row r="535" spans="1:59"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row>
    <row r="536" spans="1:59"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row>
    <row r="537" spans="1:59"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row>
    <row r="538" spans="1:59"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row>
    <row r="539" spans="1:59"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row>
    <row r="540" spans="1:59"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row>
    <row r="541" spans="1:59"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row>
    <row r="542" spans="1:59"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row>
    <row r="543" spans="1:59"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row>
    <row r="544" spans="1:59"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row>
    <row r="545" spans="1:59"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row>
    <row r="546" spans="1:59"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row>
    <row r="547" spans="1:59"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row>
    <row r="548" spans="1:59"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row>
    <row r="549" spans="1:59"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row>
    <row r="550" spans="1:59"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row>
    <row r="551" spans="1:59"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row>
    <row r="552" spans="1:59"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row>
    <row r="553" spans="1:59"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row>
    <row r="554" spans="1:59"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row>
    <row r="555" spans="1:59"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row>
    <row r="556" spans="1:59"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row>
    <row r="557" spans="1:59"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row>
    <row r="558" spans="1:59"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row>
    <row r="559" spans="1:59"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row>
    <row r="560" spans="1:59"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row>
    <row r="561" spans="1:59"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row>
    <row r="562" spans="1:59"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row>
    <row r="563" spans="1:59"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row>
    <row r="564" spans="1:59"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row>
    <row r="565" spans="1:59"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row>
    <row r="566" spans="1:59"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row>
    <row r="567" spans="1:59"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row>
    <row r="568" spans="1:59"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row>
    <row r="569" spans="1:59"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row>
    <row r="570" spans="1:59"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row>
    <row r="571" spans="1:59"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row>
    <row r="572" spans="1:59"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row>
    <row r="573" spans="1:59"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row>
    <row r="574" spans="1:59"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row>
    <row r="575" spans="1:59"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row>
    <row r="576" spans="1:59"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row>
    <row r="577" spans="1:59"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row>
    <row r="578" spans="1:59"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row>
    <row r="579" spans="1:59"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row>
    <row r="580" spans="1:59"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row>
    <row r="581" spans="1:59"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row>
    <row r="582" spans="1:59"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row>
    <row r="583" spans="1:59"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row>
    <row r="584" spans="1:59"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row>
    <row r="585" spans="1:59"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row>
    <row r="586" spans="1:59"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row>
    <row r="587" spans="1:59"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row>
    <row r="588" spans="1:59"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row>
    <row r="589" spans="1:59"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row>
    <row r="590" spans="1:59"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row>
    <row r="591" spans="1:59"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row>
    <row r="592" spans="1:59"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row>
    <row r="593" spans="1:59"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row>
    <row r="594" spans="1:59"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row>
    <row r="595" spans="1:59"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row>
    <row r="596" spans="1:59"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row>
    <row r="597" spans="1:59"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row>
    <row r="598" spans="1:59"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row>
    <row r="599" spans="1:59"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row>
    <row r="600" spans="1:59"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row>
    <row r="601" spans="1:59"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row>
    <row r="602" spans="1:59"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row>
    <row r="603" spans="1:59"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row>
    <row r="604" spans="1:59"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row>
    <row r="605" spans="1:59"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row>
    <row r="606" spans="1:59"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row>
    <row r="607" spans="1:59"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row>
    <row r="608" spans="1:59"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row>
    <row r="609" spans="1:59"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row>
    <row r="610" spans="1:59"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row>
    <row r="611" spans="1:59"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row>
    <row r="612" spans="1:59"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row>
    <row r="613" spans="1:59"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row>
    <row r="614" spans="1:59"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row>
    <row r="615" spans="1:59"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row>
    <row r="616" spans="1:59"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row>
    <row r="617" spans="1:59"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row>
    <row r="618" spans="1:59"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row>
    <row r="619" spans="1:59"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row>
    <row r="620" spans="1:59"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row>
    <row r="621" spans="1:59"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row>
    <row r="622" spans="1:59"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row>
    <row r="623" spans="1:59"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row>
    <row r="624" spans="1:59"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row>
    <row r="625" spans="1:59"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row>
    <row r="626" spans="1:59"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row>
    <row r="627" spans="1:59"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row>
    <row r="628" spans="1:59"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row>
    <row r="629" spans="1:59"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row>
    <row r="630" spans="1:59"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row>
    <row r="631" spans="1:59"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row>
    <row r="632" spans="1:59"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row>
    <row r="633" spans="1:59"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row>
    <row r="634" spans="1:59"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row>
    <row r="635" spans="1:59"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row>
    <row r="636" spans="1:59"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row>
    <row r="637" spans="1:59"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row>
    <row r="638" spans="1:59"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row>
    <row r="639" spans="1:59"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row>
    <row r="640" spans="1:59"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row>
    <row r="641" spans="1:59"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row>
    <row r="642" spans="1:59"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row>
    <row r="643" spans="1:59"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row>
    <row r="644" spans="1:59"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row>
    <row r="645" spans="1:59"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row>
    <row r="646" spans="1:59"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row>
    <row r="647" spans="1:59"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row>
    <row r="648" spans="1:59"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row>
    <row r="649" spans="1:59"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row>
    <row r="650" spans="1:59"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row>
    <row r="651" spans="1:59"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row>
    <row r="652" spans="1:59"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row>
    <row r="653" spans="1:59"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row>
    <row r="654" spans="1:59"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row>
    <row r="655" spans="1:59"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row>
    <row r="656" spans="1:59"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row>
    <row r="657" spans="1:59"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row>
    <row r="658" spans="1:59"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row>
    <row r="659" spans="1:59"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row>
    <row r="660" spans="1:59"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row>
    <row r="661" spans="1:59"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row>
    <row r="662" spans="1:59"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row>
    <row r="663" spans="1:59"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row>
    <row r="664" spans="1:59"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row>
    <row r="665" spans="1:59"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row>
    <row r="666" spans="1:59"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row>
    <row r="667" spans="1:59"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row>
    <row r="668" spans="1:59"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row>
    <row r="669" spans="1:59"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row>
    <row r="670" spans="1:59"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row>
    <row r="671" spans="1:59"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row>
    <row r="672" spans="1:59"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row>
    <row r="673" spans="1:59"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row>
    <row r="674" spans="1:59"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row>
    <row r="675" spans="1:59"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row>
    <row r="676" spans="1:59"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row>
    <row r="677" spans="1:59"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row>
    <row r="678" spans="1:59"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row>
    <row r="679" spans="1:59"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row>
    <row r="680" spans="1:59"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row>
    <row r="681" spans="1:59"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row>
    <row r="682" spans="1:59"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row>
    <row r="683" spans="1:59"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row>
    <row r="684" spans="1:59"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row>
    <row r="685" spans="1:59"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row>
    <row r="686" spans="1:59"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row>
    <row r="687" spans="1:59"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row>
    <row r="688" spans="1:59"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row>
    <row r="689" spans="1:59"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row>
    <row r="690" spans="1:59"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row>
    <row r="691" spans="1:59"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row>
    <row r="692" spans="1:59"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row>
    <row r="693" spans="1:59"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row>
    <row r="694" spans="1:59"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row>
    <row r="695" spans="1:59"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row>
    <row r="696" spans="1:59"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row>
    <row r="697" spans="1:59"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row>
    <row r="698" spans="1:59"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row>
    <row r="699" spans="1:59"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row>
    <row r="700" spans="1:59"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row>
    <row r="701" spans="1:59"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row>
    <row r="702" spans="1:59"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row>
    <row r="703" spans="1:59"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row>
    <row r="704" spans="1:59"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row>
    <row r="705" spans="1:59"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row>
    <row r="706" spans="1:59"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row>
    <row r="707" spans="1:59"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row>
    <row r="708" spans="1:59"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row>
    <row r="709" spans="1:59"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row>
    <row r="710" spans="1:59"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row>
    <row r="711" spans="1:59"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row>
    <row r="712" spans="1:59"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row>
    <row r="713" spans="1:59"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row>
    <row r="714" spans="1:59"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row>
    <row r="715" spans="1:59"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row>
    <row r="716" spans="1:59"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row>
    <row r="717" spans="1:59"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row>
    <row r="718" spans="1:59"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row>
    <row r="719" spans="1:59"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row>
    <row r="720" spans="1:59"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row>
    <row r="721" spans="1:59"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row>
    <row r="722" spans="1:59"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row>
    <row r="723" spans="1:59"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row>
    <row r="724" spans="1:59"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row>
    <row r="725" spans="1:59"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row>
    <row r="726" spans="1:59"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row>
    <row r="727" spans="1:59"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row>
    <row r="728" spans="1:59"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row>
    <row r="729" spans="1:59"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row>
    <row r="730" spans="1:59"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row>
    <row r="731" spans="1:59"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row>
    <row r="732" spans="1:59"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row>
    <row r="733" spans="1:59"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row>
    <row r="734" spans="1:59"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row>
    <row r="735" spans="1:59"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row>
    <row r="736" spans="1:59"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row>
    <row r="737" spans="1:59"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row>
    <row r="738" spans="1:59"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row>
    <row r="739" spans="1:59"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row>
    <row r="740" spans="1:59"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row>
    <row r="741" spans="1:59"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row>
    <row r="742" spans="1:59"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row>
    <row r="743" spans="1:59"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row>
    <row r="744" spans="1:59"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row>
    <row r="745" spans="1:59"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row>
    <row r="746" spans="1:59"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row>
    <row r="747" spans="1:59"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row>
    <row r="748" spans="1:59"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row>
    <row r="749" spans="1:59"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row>
    <row r="750" spans="1:59"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row>
    <row r="751" spans="1:59"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row>
    <row r="752" spans="1:59"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row>
    <row r="753" spans="1:59"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row>
    <row r="754" spans="1:59"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row>
    <row r="755" spans="1:59"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row>
    <row r="756" spans="1:59"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row>
    <row r="757" spans="1:59"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row>
    <row r="758" spans="1:59"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row>
    <row r="759" spans="1:59"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row>
    <row r="760" spans="1:59"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row>
    <row r="761" spans="1:59"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row>
    <row r="762" spans="1:59"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row>
    <row r="763" spans="1:59"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row>
    <row r="764" spans="1:59"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row>
    <row r="765" spans="1:59"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row>
    <row r="766" spans="1:59"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row>
    <row r="767" spans="1:59"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row>
    <row r="768" spans="1:59"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row>
    <row r="769" spans="1:59"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row>
    <row r="770" spans="1:59"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row>
    <row r="771" spans="1:59"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row>
    <row r="772" spans="1:59"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row>
    <row r="773" spans="1:59"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row>
    <row r="774" spans="1:59"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row>
    <row r="775" spans="1:59"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row>
    <row r="776" spans="1:59"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row>
    <row r="777" spans="1:59"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row>
    <row r="778" spans="1:59"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row>
    <row r="779" spans="1:59"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row>
    <row r="780" spans="1:59"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row>
    <row r="781" spans="1:59"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row>
    <row r="782" spans="1:59"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row>
    <row r="783" spans="1:59"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row>
    <row r="784" spans="1:59"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row>
    <row r="785" spans="1:59"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row>
    <row r="786" spans="1:59"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row>
    <row r="787" spans="1:59"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row>
    <row r="788" spans="1:59"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row>
    <row r="789" spans="1:59"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row>
    <row r="790" spans="1:59"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row>
    <row r="791" spans="1:59"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row>
    <row r="792" spans="1:59"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row>
    <row r="793" spans="1:59"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row>
    <row r="794" spans="1:59"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row>
    <row r="795" spans="1:59"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row>
    <row r="796" spans="1:59"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row>
    <row r="797" spans="1:59"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row>
    <row r="798" spans="1:59"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row>
    <row r="799" spans="1:59"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row>
    <row r="800" spans="1:59"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row>
    <row r="801" spans="1:59"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row>
    <row r="802" spans="1:59"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row>
    <row r="803" spans="1:59"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row>
    <row r="804" spans="1:59"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row>
    <row r="805" spans="1:59"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row>
    <row r="806" spans="1:59"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row>
    <row r="807" spans="1:59"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row>
    <row r="808" spans="1:59"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row>
    <row r="809" spans="1:59"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row>
    <row r="810" spans="1:59"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row>
    <row r="811" spans="1:59"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row>
    <row r="812" spans="1:59"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row>
    <row r="813" spans="1:59"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row>
    <row r="814" spans="1:59"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row>
    <row r="815" spans="1:59"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row>
    <row r="816" spans="1:59"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row>
    <row r="817" spans="1:59"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row>
    <row r="818" spans="1:59"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row>
    <row r="819" spans="1:59"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row>
    <row r="820" spans="1:59"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row>
    <row r="821" spans="1:59"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row>
    <row r="822" spans="1:59"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row>
    <row r="823" spans="1:59"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row>
    <row r="824" spans="1:59"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row>
    <row r="825" spans="1:59"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row>
    <row r="826" spans="1:59"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row>
    <row r="827" spans="1:59"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row>
    <row r="828" spans="1:59"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row>
    <row r="829" spans="1:59"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row>
    <row r="830" spans="1:59"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row>
    <row r="831" spans="1:59"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row>
    <row r="832" spans="1:59"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row>
    <row r="833" spans="1:59"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row>
  </sheetData>
  <autoFilter ref="A6:BG136" xr:uid="{00000000-0009-0000-0000-000001000000}">
    <sortState xmlns:xlrd2="http://schemas.microsoft.com/office/spreadsheetml/2017/richdata2" ref="A6:BG136">
      <sortCondition ref="D6:D136"/>
    </sortState>
  </autoFilter>
  <mergeCells count="9">
    <mergeCell ref="B169:D169"/>
    <mergeCell ref="B170:D170"/>
    <mergeCell ref="A1:L1"/>
    <mergeCell ref="J3:K3"/>
    <mergeCell ref="B164:D164"/>
    <mergeCell ref="B165:D165"/>
    <mergeCell ref="B166:D166"/>
    <mergeCell ref="B167:D167"/>
    <mergeCell ref="B168:D168"/>
  </mergeCells>
  <phoneticPr fontId="39" type="noConversion"/>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CCFF"/>
  </sheetPr>
  <dimension ref="A1:P1000"/>
  <sheetViews>
    <sheetView showGridLines="0" zoomScale="112" zoomScaleNormal="112" workbookViewId="0">
      <selection activeCell="R29" sqref="R29"/>
    </sheetView>
  </sheetViews>
  <sheetFormatPr baseColWidth="10" defaultColWidth="12.625" defaultRowHeight="15" customHeight="1" x14ac:dyDescent="0.2"/>
  <cols>
    <col min="1" max="1" width="2.5" customWidth="1"/>
    <col min="2" max="2" width="5.25" customWidth="1"/>
    <col min="3" max="3" width="27.125" customWidth="1"/>
    <col min="4" max="4" width="7.625" customWidth="1"/>
    <col min="5" max="5" width="9.75" hidden="1" customWidth="1"/>
    <col min="6" max="6" width="15.25" hidden="1" customWidth="1"/>
    <col min="7" max="7" width="15.375" hidden="1" customWidth="1"/>
    <col min="8" max="8" width="20.75" hidden="1" customWidth="1"/>
    <col min="9" max="9" width="22.5" hidden="1" customWidth="1"/>
    <col min="10" max="10" width="25.375" customWidth="1"/>
    <col min="11" max="11" width="6.25" customWidth="1"/>
    <col min="12" max="14" width="10.625" customWidth="1"/>
    <col min="15" max="15" width="14.75" customWidth="1"/>
    <col min="16" max="26" width="10.625" customWidth="1"/>
  </cols>
  <sheetData>
    <row r="1" spans="1:13" ht="14.25" customHeight="1" x14ac:dyDescent="0.2">
      <c r="A1" s="11"/>
      <c r="B1" s="11"/>
      <c r="C1" s="11"/>
      <c r="D1" s="6"/>
      <c r="E1" s="11"/>
      <c r="F1" s="11"/>
      <c r="G1" s="11"/>
      <c r="H1" s="11"/>
      <c r="I1" s="11"/>
      <c r="J1" s="11"/>
      <c r="K1" s="11"/>
      <c r="L1" s="11"/>
      <c r="M1" s="11"/>
    </row>
    <row r="2" spans="1:13" ht="57.75" customHeight="1" x14ac:dyDescent="0.2">
      <c r="A2" s="11"/>
      <c r="B2" s="266" t="s">
        <v>278</v>
      </c>
      <c r="C2" s="267"/>
      <c r="D2" s="267"/>
      <c r="E2" s="267"/>
      <c r="F2" s="267"/>
      <c r="G2" s="267"/>
      <c r="H2" s="267"/>
      <c r="I2" s="267"/>
      <c r="J2" s="267"/>
      <c r="K2" s="268"/>
      <c r="L2" s="11"/>
      <c r="M2" s="11"/>
    </row>
    <row r="3" spans="1:13" ht="21" customHeight="1" x14ac:dyDescent="0.2">
      <c r="A3" s="11"/>
      <c r="B3" s="269" t="s">
        <v>279</v>
      </c>
      <c r="C3" s="267"/>
      <c r="D3" s="267"/>
      <c r="E3" s="267"/>
      <c r="F3" s="267"/>
      <c r="G3" s="267"/>
      <c r="H3" s="267"/>
      <c r="I3" s="267"/>
      <c r="J3" s="267"/>
      <c r="K3" s="268"/>
      <c r="L3" s="11"/>
      <c r="M3" s="11"/>
    </row>
    <row r="4" spans="1:13" ht="20.25" customHeight="1" x14ac:dyDescent="0.2">
      <c r="A4" s="11"/>
      <c r="B4" s="53"/>
      <c r="C4" s="54" t="s">
        <v>110</v>
      </c>
      <c r="D4" s="55"/>
      <c r="E4" s="56"/>
      <c r="F4" s="56"/>
      <c r="G4" s="56"/>
      <c r="H4" s="56"/>
      <c r="I4" s="56"/>
      <c r="J4" s="57">
        <f>RESPUESTAS!L3</f>
        <v>130</v>
      </c>
      <c r="K4" s="58"/>
      <c r="L4" s="11"/>
      <c r="M4" s="11"/>
    </row>
    <row r="5" spans="1:13" ht="20.25" customHeight="1" x14ac:dyDescent="0.2">
      <c r="A5" s="11"/>
      <c r="B5" s="53"/>
      <c r="C5" s="59" t="s">
        <v>280</v>
      </c>
      <c r="D5" s="60"/>
      <c r="E5" s="61"/>
      <c r="F5" s="61"/>
      <c r="G5" s="61"/>
      <c r="H5" s="61"/>
      <c r="I5" s="61"/>
      <c r="J5" s="62">
        <f>AVERAGE(J9:J11)</f>
        <v>77.882753357753359</v>
      </c>
      <c r="K5" s="58"/>
      <c r="L5" s="11"/>
      <c r="M5" s="11"/>
    </row>
    <row r="6" spans="1:13" ht="20.25" customHeight="1" x14ac:dyDescent="0.2">
      <c r="A6" s="11"/>
      <c r="B6" s="53"/>
      <c r="C6" s="63" t="s">
        <v>281</v>
      </c>
      <c r="D6" s="64"/>
      <c r="E6" s="65"/>
      <c r="F6" s="65"/>
      <c r="G6" s="65"/>
      <c r="H6" s="65"/>
      <c r="I6" s="65"/>
      <c r="J6" s="66" t="str">
        <f>IF(J5&gt;80, "Saludable", IF(J5&gt;50, "En Proceso de Mejora", "No Saludable"))</f>
        <v>En Proceso de Mejora</v>
      </c>
      <c r="K6" s="58"/>
      <c r="L6" s="11"/>
      <c r="M6" s="11"/>
    </row>
    <row r="7" spans="1:13" ht="14.25" customHeight="1" x14ac:dyDescent="0.2">
      <c r="A7" s="11"/>
      <c r="B7" s="53"/>
      <c r="C7" s="65"/>
      <c r="D7" s="6"/>
      <c r="E7" s="65"/>
      <c r="F7" s="65"/>
      <c r="G7" s="65"/>
      <c r="H7" s="65"/>
      <c r="I7" s="65"/>
      <c r="J7" s="65"/>
      <c r="K7" s="58"/>
      <c r="L7" s="11"/>
      <c r="M7" s="11"/>
    </row>
    <row r="8" spans="1:13" ht="14.25" customHeight="1" x14ac:dyDescent="0.2">
      <c r="A8" s="11"/>
      <c r="B8" s="53"/>
      <c r="C8" s="67" t="s">
        <v>2</v>
      </c>
      <c r="D8" s="68" t="s">
        <v>282</v>
      </c>
      <c r="E8" s="67" t="s">
        <v>283</v>
      </c>
      <c r="F8" s="67" t="s">
        <v>284</v>
      </c>
      <c r="G8" s="67" t="s">
        <v>285</v>
      </c>
      <c r="H8" s="67" t="s">
        <v>286</v>
      </c>
      <c r="I8" s="67" t="s">
        <v>287</v>
      </c>
      <c r="J8" s="69" t="s">
        <v>280</v>
      </c>
      <c r="K8" s="58"/>
      <c r="L8" s="11"/>
      <c r="M8" s="11"/>
    </row>
    <row r="9" spans="1:13" ht="14.25" customHeight="1" x14ac:dyDescent="0.2">
      <c r="A9" s="11"/>
      <c r="B9" s="53"/>
      <c r="C9" s="70" t="s">
        <v>288</v>
      </c>
      <c r="D9" s="19">
        <v>40</v>
      </c>
      <c r="E9" s="71">
        <f>+SUM(E15:E18)</f>
        <v>14</v>
      </c>
      <c r="F9" s="72">
        <f t="shared" ref="F9:G9" si="0">SUM(H15:H18)</f>
        <v>2184</v>
      </c>
      <c r="G9" s="72">
        <f t="shared" si="0"/>
        <v>1720.3400000000001</v>
      </c>
      <c r="H9" s="72">
        <f t="shared" ref="H9:H11" si="1">IF(ISERROR(+D9*F9/100),0,ROUND(+D9*F9/100,2))</f>
        <v>873.6</v>
      </c>
      <c r="I9" s="72">
        <f t="shared" ref="I9:I11" si="2">IF(ISERROR(G9*H9/F9),0,ROUND(G9*H9/F9,2))</f>
        <v>688.14</v>
      </c>
      <c r="J9" s="73">
        <f>IF(ISERROR(I9*100/H9), 0, +I9*100/H9)</f>
        <v>78.770604395604394</v>
      </c>
      <c r="K9" s="58"/>
      <c r="L9" s="11"/>
      <c r="M9" s="11"/>
    </row>
    <row r="10" spans="1:13" ht="14.25" customHeight="1" x14ac:dyDescent="0.2">
      <c r="A10" s="11"/>
      <c r="B10" s="53"/>
      <c r="C10" s="70" t="s">
        <v>289</v>
      </c>
      <c r="D10" s="19">
        <v>25</v>
      </c>
      <c r="E10" s="71">
        <f>+SUM(E21:E24)</f>
        <v>15</v>
      </c>
      <c r="F10" s="72">
        <f t="shared" ref="F10:G10" si="3">SUM(H21:H24)</f>
        <v>2470</v>
      </c>
      <c r="G10" s="72">
        <f t="shared" si="3"/>
        <v>1853.65</v>
      </c>
      <c r="H10" s="72">
        <f t="shared" si="1"/>
        <v>617.5</v>
      </c>
      <c r="I10" s="72">
        <f t="shared" si="2"/>
        <v>463.41</v>
      </c>
      <c r="J10" s="73">
        <f t="shared" ref="J10:J11" si="4">IF(ISERROR(I10*100/H10), 0, +I10*100/H10)</f>
        <v>75.046153846153842</v>
      </c>
      <c r="K10" s="58"/>
      <c r="L10" s="11"/>
      <c r="M10" s="11"/>
    </row>
    <row r="11" spans="1:13" ht="14.25" customHeight="1" x14ac:dyDescent="0.2">
      <c r="A11" s="11"/>
      <c r="B11" s="53"/>
      <c r="C11" s="70" t="s">
        <v>290</v>
      </c>
      <c r="D11" s="19">
        <v>35</v>
      </c>
      <c r="E11" s="71">
        <f>+SUM(E27:E29)</f>
        <v>9</v>
      </c>
      <c r="F11" s="72">
        <f t="shared" ref="F11:G11" si="5">SUM(H27:H29)</f>
        <v>1950</v>
      </c>
      <c r="G11" s="72">
        <f t="shared" si="5"/>
        <v>1556.6999999999998</v>
      </c>
      <c r="H11" s="72">
        <f t="shared" si="1"/>
        <v>682.5</v>
      </c>
      <c r="I11" s="72">
        <f t="shared" si="2"/>
        <v>544.85</v>
      </c>
      <c r="J11" s="73">
        <f t="shared" si="4"/>
        <v>79.831501831501825</v>
      </c>
      <c r="K11" s="58"/>
      <c r="L11" s="11"/>
      <c r="M11" s="11"/>
    </row>
    <row r="12" spans="1:13" ht="14.25" customHeight="1" x14ac:dyDescent="0.2">
      <c r="A12" s="11"/>
      <c r="B12" s="53"/>
      <c r="C12" s="65"/>
      <c r="D12" s="6"/>
      <c r="E12" s="65"/>
      <c r="F12" s="65"/>
      <c r="G12" s="65"/>
      <c r="H12" s="65"/>
      <c r="I12" s="65"/>
      <c r="J12" s="65"/>
      <c r="K12" s="58"/>
      <c r="L12" s="11"/>
      <c r="M12" s="11"/>
    </row>
    <row r="13" spans="1:13" ht="14.25" customHeight="1" x14ac:dyDescent="0.2">
      <c r="A13" s="11"/>
      <c r="B13" s="53"/>
      <c r="C13" s="270" t="s">
        <v>291</v>
      </c>
      <c r="D13" s="271"/>
      <c r="E13" s="271"/>
      <c r="F13" s="271"/>
      <c r="G13" s="271"/>
      <c r="H13" s="271"/>
      <c r="I13" s="271"/>
      <c r="J13" s="252"/>
      <c r="K13" s="58"/>
      <c r="L13" s="11"/>
      <c r="M13" s="11"/>
    </row>
    <row r="14" spans="1:13" ht="14.25" customHeight="1" x14ac:dyDescent="0.2">
      <c r="A14" s="11"/>
      <c r="B14" s="53"/>
      <c r="C14" s="67" t="s">
        <v>288</v>
      </c>
      <c r="D14" s="68" t="s">
        <v>282</v>
      </c>
      <c r="E14" s="68" t="s">
        <v>283</v>
      </c>
      <c r="F14" s="68" t="s">
        <v>284</v>
      </c>
      <c r="G14" s="68" t="s">
        <v>292</v>
      </c>
      <c r="H14" s="68" t="s">
        <v>286</v>
      </c>
      <c r="I14" s="68" t="s">
        <v>293</v>
      </c>
      <c r="J14" s="69" t="s">
        <v>280</v>
      </c>
      <c r="K14" s="58"/>
      <c r="L14" s="11"/>
      <c r="M14" s="11"/>
    </row>
    <row r="15" spans="1:13" ht="14.25" customHeight="1" x14ac:dyDescent="0.2">
      <c r="A15" s="11"/>
      <c r="B15" s="53"/>
      <c r="C15" s="74" t="s">
        <v>204</v>
      </c>
      <c r="D15" s="71">
        <v>46</v>
      </c>
      <c r="E15" s="71">
        <v>3</v>
      </c>
      <c r="F15" s="19">
        <f>E15*5*$J$4</f>
        <v>1950</v>
      </c>
      <c r="G15" s="19">
        <f>+SUMIF(Dimensiones,$C15,DimenRpta)</f>
        <v>1556</v>
      </c>
      <c r="H15" s="72">
        <f t="shared" ref="H15:H18" si="6">IF(E15=0,0,IF(ISERROR(+D15*F15/100),0,+D15*F15/100))</f>
        <v>897</v>
      </c>
      <c r="I15" s="72">
        <f t="shared" ref="I15:I18" si="7">IF(ISERROR(+G15*H15/F15),0,+G15*H15/F15)</f>
        <v>715.76</v>
      </c>
      <c r="J15" s="75">
        <f t="shared" ref="J15:J18" si="8">IF(ISERROR(I15*100/H15), 0, +I15*100/H15)</f>
        <v>79.794871794871796</v>
      </c>
      <c r="K15" s="58"/>
      <c r="L15" s="11"/>
      <c r="M15" s="11"/>
    </row>
    <row r="16" spans="1:13" ht="14.25" customHeight="1" x14ac:dyDescent="0.2">
      <c r="A16" s="11"/>
      <c r="B16" s="53"/>
      <c r="C16" s="74" t="s">
        <v>294</v>
      </c>
      <c r="D16" s="71">
        <v>18</v>
      </c>
      <c r="E16" s="71">
        <v>4</v>
      </c>
      <c r="F16" s="19">
        <f t="shared" ref="F16:F18" si="9">E16*5*$J$4</f>
        <v>2600</v>
      </c>
      <c r="G16" s="19">
        <f>+SUMIF(Dimensiones,$C16,DimenRpta)</f>
        <v>2070</v>
      </c>
      <c r="H16" s="72">
        <f>IF(E16=0,0,IF(ISERROR(+D16*F16/100),0,+D16*F16/100))</f>
        <v>468</v>
      </c>
      <c r="I16" s="72">
        <f t="shared" si="7"/>
        <v>372.6</v>
      </c>
      <c r="J16" s="75">
        <f t="shared" si="8"/>
        <v>79.615384615384613</v>
      </c>
      <c r="K16" s="58"/>
      <c r="L16" s="11"/>
      <c r="M16" s="11"/>
    </row>
    <row r="17" spans="1:16" ht="14.25" customHeight="1" x14ac:dyDescent="0.2">
      <c r="A17" s="11"/>
      <c r="B17" s="53"/>
      <c r="C17" s="74" t="s">
        <v>295</v>
      </c>
      <c r="D17" s="71">
        <v>18</v>
      </c>
      <c r="E17" s="71">
        <v>4</v>
      </c>
      <c r="F17" s="19">
        <f t="shared" si="9"/>
        <v>2600</v>
      </c>
      <c r="G17" s="19">
        <f>+SUMIF(Dimensiones,$C17,DimenRpta)</f>
        <v>1793</v>
      </c>
      <c r="H17" s="72">
        <f>IF(E17=0,0,IF(ISERROR(+D17*F17/100),0,+D17*F17/100))</f>
        <v>468</v>
      </c>
      <c r="I17" s="72">
        <f t="shared" si="7"/>
        <v>322.74</v>
      </c>
      <c r="J17" s="75">
        <f t="shared" si="8"/>
        <v>68.961538461538467</v>
      </c>
      <c r="K17" s="58"/>
      <c r="L17" s="11"/>
      <c r="M17" s="11"/>
      <c r="O17" s="11"/>
      <c r="P17" s="11"/>
    </row>
    <row r="18" spans="1:16" ht="14.25" customHeight="1" x14ac:dyDescent="0.2">
      <c r="A18" s="11"/>
      <c r="B18" s="53"/>
      <c r="C18" s="74" t="s">
        <v>296</v>
      </c>
      <c r="D18" s="71">
        <v>18</v>
      </c>
      <c r="E18" s="71">
        <v>3</v>
      </c>
      <c r="F18" s="19">
        <f t="shared" si="9"/>
        <v>1950</v>
      </c>
      <c r="G18" s="19">
        <f>+SUMIF(Dimensiones,$C18,DimenRpta)</f>
        <v>1718</v>
      </c>
      <c r="H18" s="72">
        <f t="shared" si="6"/>
        <v>351</v>
      </c>
      <c r="I18" s="72">
        <f t="shared" si="7"/>
        <v>309.24</v>
      </c>
      <c r="J18" s="75">
        <f t="shared" si="8"/>
        <v>88.102564102564102</v>
      </c>
      <c r="K18" s="58"/>
      <c r="L18" s="11"/>
      <c r="M18" s="11"/>
      <c r="O18" s="11"/>
      <c r="P18" s="11"/>
    </row>
    <row r="19" spans="1:16" ht="14.25" customHeight="1" x14ac:dyDescent="0.2">
      <c r="A19" s="11"/>
      <c r="B19" s="53"/>
      <c r="C19" s="65"/>
      <c r="D19" s="76"/>
      <c r="E19" s="77"/>
      <c r="F19" s="65"/>
      <c r="G19" s="65"/>
      <c r="H19" s="65"/>
      <c r="I19" s="65"/>
      <c r="J19" s="65"/>
      <c r="K19" s="58"/>
      <c r="L19" s="11"/>
      <c r="M19" s="11"/>
      <c r="O19" s="11"/>
      <c r="P19" s="11"/>
    </row>
    <row r="20" spans="1:16" ht="14.25" customHeight="1" x14ac:dyDescent="0.2">
      <c r="A20" s="11"/>
      <c r="B20" s="53"/>
      <c r="C20" s="67" t="s">
        <v>289</v>
      </c>
      <c r="D20" s="68" t="s">
        <v>282</v>
      </c>
      <c r="E20" s="68" t="s">
        <v>283</v>
      </c>
      <c r="F20" s="68" t="s">
        <v>284</v>
      </c>
      <c r="G20" s="68" t="s">
        <v>292</v>
      </c>
      <c r="H20" s="68" t="s">
        <v>297</v>
      </c>
      <c r="I20" s="68" t="s">
        <v>293</v>
      </c>
      <c r="J20" s="69" t="s">
        <v>280</v>
      </c>
      <c r="K20" s="58"/>
      <c r="L20" s="11"/>
      <c r="M20" s="11"/>
    </row>
    <row r="21" spans="1:16" ht="14.25" customHeight="1" x14ac:dyDescent="0.2">
      <c r="A21" s="11"/>
      <c r="B21" s="53"/>
      <c r="C21" s="74" t="s">
        <v>243</v>
      </c>
      <c r="D21" s="71">
        <v>20</v>
      </c>
      <c r="E21" s="71">
        <v>3</v>
      </c>
      <c r="F21" s="19">
        <f t="shared" ref="F21:F24" si="10">E21*5*$J$4</f>
        <v>1950</v>
      </c>
      <c r="G21" s="19">
        <f>+SUMIF(Dimensiones,$C21,DimenRpta)</f>
        <v>1638</v>
      </c>
      <c r="H21" s="72">
        <f t="shared" ref="H21:H24" si="11">IF(E21=0,0,IF(ISERROR(+D21*F21/100),0,+D21*F21/100))</f>
        <v>390</v>
      </c>
      <c r="I21" s="72">
        <f t="shared" ref="I21:I24" si="12">IF(ISERROR(+G21*H21/F21),0,+G21*H21/F21)</f>
        <v>327.60000000000002</v>
      </c>
      <c r="J21" s="75">
        <f t="shared" ref="J21:J24" si="13">IF(ISERROR(I21*100/H21), 0, +I21*100/H21)</f>
        <v>84.000000000000014</v>
      </c>
      <c r="K21" s="58"/>
      <c r="L21" s="11"/>
      <c r="M21" s="11"/>
    </row>
    <row r="22" spans="1:16" ht="14.25" customHeight="1" x14ac:dyDescent="0.2">
      <c r="A22" s="11"/>
      <c r="B22" s="53"/>
      <c r="C22" s="74" t="s">
        <v>796</v>
      </c>
      <c r="D22" s="71">
        <v>35</v>
      </c>
      <c r="E22" s="71">
        <v>4</v>
      </c>
      <c r="F22" s="19">
        <f t="shared" si="10"/>
        <v>2600</v>
      </c>
      <c r="G22" s="19">
        <f>+SUMIF(Dimensiones,$C22,DimenRpta)</f>
        <v>1994</v>
      </c>
      <c r="H22" s="72">
        <f t="shared" si="11"/>
        <v>910</v>
      </c>
      <c r="I22" s="72">
        <f t="shared" si="12"/>
        <v>697.9</v>
      </c>
      <c r="J22" s="75">
        <f t="shared" si="13"/>
        <v>76.692307692307693</v>
      </c>
      <c r="K22" s="58"/>
      <c r="L22" s="11"/>
      <c r="M22" s="11"/>
    </row>
    <row r="23" spans="1:16" ht="14.25" customHeight="1" x14ac:dyDescent="0.2">
      <c r="A23" s="11"/>
      <c r="B23" s="53"/>
      <c r="C23" s="74" t="s">
        <v>298</v>
      </c>
      <c r="D23" s="71">
        <v>25</v>
      </c>
      <c r="E23" s="71">
        <v>4</v>
      </c>
      <c r="F23" s="19">
        <f t="shared" si="10"/>
        <v>2600</v>
      </c>
      <c r="G23" s="19">
        <f>+SUMIF(Dimensiones,$C23,DimenRpta)</f>
        <v>1935</v>
      </c>
      <c r="H23" s="72">
        <f t="shared" si="11"/>
        <v>650</v>
      </c>
      <c r="I23" s="72">
        <f t="shared" si="12"/>
        <v>483.75</v>
      </c>
      <c r="J23" s="75">
        <f t="shared" si="13"/>
        <v>74.42307692307692</v>
      </c>
      <c r="K23" s="58"/>
      <c r="L23" s="11"/>
      <c r="M23" s="11"/>
    </row>
    <row r="24" spans="1:16" ht="14.25" customHeight="1" x14ac:dyDescent="0.2">
      <c r="A24" s="11"/>
      <c r="B24" s="53"/>
      <c r="C24" s="74" t="s">
        <v>257</v>
      </c>
      <c r="D24" s="71">
        <v>20</v>
      </c>
      <c r="E24" s="71">
        <v>4</v>
      </c>
      <c r="F24" s="19">
        <f t="shared" si="10"/>
        <v>2600</v>
      </c>
      <c r="G24" s="19">
        <f>+SUMIF(Dimensiones,$C24,DimenRpta)</f>
        <v>1722</v>
      </c>
      <c r="H24" s="72">
        <f t="shared" si="11"/>
        <v>520</v>
      </c>
      <c r="I24" s="72">
        <f t="shared" si="12"/>
        <v>344.4</v>
      </c>
      <c r="J24" s="75">
        <f t="shared" si="13"/>
        <v>66.230769230769226</v>
      </c>
      <c r="K24" s="58"/>
      <c r="L24" s="11"/>
      <c r="M24" s="11"/>
    </row>
    <row r="25" spans="1:16" ht="14.25" customHeight="1" x14ac:dyDescent="0.2">
      <c r="A25" s="11"/>
      <c r="B25" s="53"/>
      <c r="C25" s="65"/>
      <c r="D25" s="76"/>
      <c r="E25" s="76"/>
      <c r="F25" s="6"/>
      <c r="G25" s="6"/>
      <c r="H25" s="6"/>
      <c r="I25" s="6"/>
      <c r="J25" s="6"/>
      <c r="K25" s="58"/>
      <c r="L25" s="11"/>
      <c r="M25" s="11"/>
    </row>
    <row r="26" spans="1:16" ht="14.25" customHeight="1" x14ac:dyDescent="0.2">
      <c r="A26" s="11"/>
      <c r="B26" s="53"/>
      <c r="C26" s="67" t="s">
        <v>290</v>
      </c>
      <c r="D26" s="68" t="s">
        <v>282</v>
      </c>
      <c r="E26" s="68" t="s">
        <v>283</v>
      </c>
      <c r="F26" s="68" t="s">
        <v>284</v>
      </c>
      <c r="G26" s="68" t="s">
        <v>292</v>
      </c>
      <c r="H26" s="68" t="s">
        <v>297</v>
      </c>
      <c r="I26" s="68" t="s">
        <v>293</v>
      </c>
      <c r="J26" s="69" t="s">
        <v>280</v>
      </c>
      <c r="K26" s="58"/>
      <c r="L26" s="11"/>
      <c r="M26" s="11"/>
    </row>
    <row r="27" spans="1:16" ht="14.25" customHeight="1" x14ac:dyDescent="0.2">
      <c r="A27" s="11"/>
      <c r="B27" s="53"/>
      <c r="C27" s="74" t="s">
        <v>299</v>
      </c>
      <c r="D27" s="71">
        <v>22</v>
      </c>
      <c r="E27" s="71">
        <v>3</v>
      </c>
      <c r="F27" s="19">
        <f t="shared" ref="F27:F29" si="14">E27*5*$J$4</f>
        <v>1950</v>
      </c>
      <c r="G27" s="19">
        <f>+SUMIF(Dimensiones,$C27,DimenRpta)</f>
        <v>1390</v>
      </c>
      <c r="H27" s="72">
        <f t="shared" ref="H27:H29" si="15">IF(E27=0,0,IF(ISERROR(+D27*F27/100),0,+D27*F27/100))</f>
        <v>429</v>
      </c>
      <c r="I27" s="72">
        <f t="shared" ref="I27:I29" si="16">IF(ISERROR(+G27*H27/F27),0,+G27*H27/F27)</f>
        <v>305.8</v>
      </c>
      <c r="J27" s="75">
        <f t="shared" ref="J27:J29" si="17">IF(ISERROR(I27*100/H27), 0, +I27*100/H27)</f>
        <v>71.282051282051285</v>
      </c>
      <c r="K27" s="58"/>
      <c r="L27" s="11"/>
      <c r="M27" s="11"/>
    </row>
    <row r="28" spans="1:16" ht="14.25" customHeight="1" x14ac:dyDescent="0.2">
      <c r="A28" s="11"/>
      <c r="B28" s="53"/>
      <c r="C28" s="74" t="s">
        <v>300</v>
      </c>
      <c r="D28" s="71">
        <v>22</v>
      </c>
      <c r="E28" s="71">
        <v>3</v>
      </c>
      <c r="F28" s="19">
        <f t="shared" si="14"/>
        <v>1950</v>
      </c>
      <c r="G28" s="19">
        <f>+SUMIF(Dimensiones,$C28,DimenRpta)</f>
        <v>1659</v>
      </c>
      <c r="H28" s="72">
        <f t="shared" si="15"/>
        <v>429</v>
      </c>
      <c r="I28" s="72">
        <f t="shared" si="16"/>
        <v>364.98</v>
      </c>
      <c r="J28" s="75">
        <f t="shared" si="17"/>
        <v>85.07692307692308</v>
      </c>
      <c r="K28" s="58"/>
      <c r="L28" s="11"/>
      <c r="M28" s="11"/>
    </row>
    <row r="29" spans="1:16" ht="14.25" customHeight="1" thickBot="1" x14ac:dyDescent="0.25">
      <c r="A29" s="11"/>
      <c r="B29" s="53"/>
      <c r="C29" s="74" t="s">
        <v>301</v>
      </c>
      <c r="D29" s="71">
        <v>56</v>
      </c>
      <c r="E29" s="71">
        <v>3</v>
      </c>
      <c r="F29" s="19">
        <f t="shared" si="14"/>
        <v>1950</v>
      </c>
      <c r="G29" s="19">
        <f>+SUMIF(Dimensiones,$C29,DimenRpta)</f>
        <v>1582</v>
      </c>
      <c r="H29" s="72">
        <f t="shared" si="15"/>
        <v>1092</v>
      </c>
      <c r="I29" s="72">
        <f t="shared" si="16"/>
        <v>885.92</v>
      </c>
      <c r="J29" s="75">
        <f t="shared" si="17"/>
        <v>81.128205128205124</v>
      </c>
      <c r="K29" s="58"/>
      <c r="L29" s="11"/>
      <c r="M29" s="11"/>
    </row>
    <row r="30" spans="1:16" ht="14.25" customHeight="1" thickBot="1" x14ac:dyDescent="0.25">
      <c r="A30" s="11"/>
      <c r="B30" s="78"/>
      <c r="C30" s="79"/>
      <c r="D30" s="80"/>
      <c r="E30" s="81"/>
      <c r="F30" s="79"/>
      <c r="G30" s="79"/>
      <c r="H30" s="79"/>
      <c r="I30" s="79"/>
      <c r="J30" s="79"/>
      <c r="K30" s="82"/>
      <c r="L30" s="11"/>
      <c r="M30" s="11"/>
    </row>
    <row r="31" spans="1:16" ht="14.25" customHeight="1" x14ac:dyDescent="0.2">
      <c r="A31" s="11"/>
      <c r="B31" s="11"/>
      <c r="C31" s="11"/>
      <c r="D31" s="6"/>
      <c r="E31" s="11"/>
      <c r="F31" s="11"/>
      <c r="G31" s="11"/>
      <c r="H31" s="11"/>
      <c r="I31" s="11"/>
      <c r="J31" s="11"/>
      <c r="K31" s="11"/>
      <c r="L31" s="11"/>
      <c r="M31" s="11"/>
    </row>
    <row r="32" spans="1:16" ht="14.25" customHeight="1" x14ac:dyDescent="0.2">
      <c r="A32" s="11"/>
      <c r="B32" s="11"/>
      <c r="C32" s="11"/>
      <c r="D32" s="6"/>
      <c r="E32" s="11"/>
      <c r="F32" s="11"/>
      <c r="G32" s="11"/>
      <c r="H32" s="11"/>
      <c r="I32" s="11"/>
      <c r="J32" s="11"/>
      <c r="K32" s="11"/>
      <c r="L32" s="11"/>
      <c r="M32" s="11"/>
    </row>
    <row r="33" spans="1:13" ht="14.25" customHeight="1" x14ac:dyDescent="0.2">
      <c r="A33" s="11"/>
      <c r="B33" s="11"/>
      <c r="C33" s="11"/>
      <c r="D33" s="6"/>
      <c r="E33" s="11"/>
      <c r="F33" s="11"/>
      <c r="G33" s="11"/>
      <c r="H33" s="11"/>
      <c r="I33" s="11"/>
      <c r="J33" s="11"/>
      <c r="K33" s="11"/>
      <c r="L33" s="11"/>
      <c r="M33" s="11"/>
    </row>
    <row r="34" spans="1:13" ht="14.25" customHeight="1" x14ac:dyDescent="0.2">
      <c r="A34" s="11"/>
      <c r="B34" s="11"/>
      <c r="C34" s="11"/>
      <c r="D34" s="6"/>
      <c r="E34" s="11"/>
      <c r="F34" s="11"/>
      <c r="G34" s="11"/>
      <c r="H34" s="11"/>
      <c r="I34" s="11"/>
      <c r="J34" s="11"/>
      <c r="K34" s="11"/>
      <c r="L34" s="11"/>
      <c r="M34" s="11"/>
    </row>
    <row r="35" spans="1:13" ht="14.25" customHeight="1" x14ac:dyDescent="0.2">
      <c r="A35" s="11"/>
      <c r="B35" s="11"/>
      <c r="C35" s="11"/>
      <c r="D35" s="6"/>
      <c r="E35" s="11"/>
      <c r="F35" s="11"/>
      <c r="G35" s="11"/>
      <c r="H35" s="11"/>
      <c r="I35" s="11"/>
      <c r="J35" s="11"/>
      <c r="K35" s="11"/>
      <c r="L35" s="11"/>
      <c r="M35" s="11"/>
    </row>
    <row r="36" spans="1:13" ht="14.25" customHeight="1" x14ac:dyDescent="0.2">
      <c r="A36" s="11"/>
      <c r="B36" s="11"/>
      <c r="C36" s="11"/>
      <c r="D36" s="6"/>
      <c r="E36" s="11"/>
      <c r="F36" s="11"/>
      <c r="G36" s="11"/>
      <c r="H36" s="11"/>
      <c r="I36" s="11"/>
      <c r="J36" s="11"/>
      <c r="K36" s="11"/>
      <c r="L36" s="11"/>
      <c r="M36" s="11"/>
    </row>
    <row r="37" spans="1:13" ht="14.25" customHeight="1" x14ac:dyDescent="0.2">
      <c r="A37" s="11"/>
      <c r="B37" s="11"/>
      <c r="C37" s="11"/>
      <c r="D37" s="6"/>
      <c r="E37" s="11"/>
      <c r="F37" s="11"/>
      <c r="G37" s="11"/>
      <c r="H37" s="11"/>
      <c r="I37" s="11"/>
      <c r="J37" s="11"/>
      <c r="K37" s="11"/>
      <c r="L37" s="11"/>
      <c r="M37" s="11"/>
    </row>
    <row r="38" spans="1:13" ht="14.25" customHeight="1" x14ac:dyDescent="0.2">
      <c r="A38" s="11"/>
      <c r="B38" s="11"/>
      <c r="C38" s="11"/>
      <c r="D38" s="6"/>
      <c r="E38" s="11"/>
      <c r="F38" s="11"/>
      <c r="G38" s="11"/>
      <c r="H38" s="11"/>
      <c r="I38" s="11"/>
      <c r="J38" s="11"/>
      <c r="K38" s="11"/>
      <c r="L38" s="11"/>
      <c r="M38" s="11"/>
    </row>
    <row r="39" spans="1:13" ht="14.25" customHeight="1" x14ac:dyDescent="0.2">
      <c r="A39" s="11"/>
      <c r="B39" s="11"/>
      <c r="C39" s="11"/>
      <c r="D39" s="6"/>
      <c r="E39" s="11"/>
      <c r="F39" s="11"/>
      <c r="G39" s="11"/>
      <c r="H39" s="11"/>
      <c r="I39" s="11"/>
      <c r="J39" s="11"/>
      <c r="K39" s="11"/>
      <c r="L39" s="11"/>
      <c r="M39" s="11"/>
    </row>
    <row r="40" spans="1:13" ht="14.25" customHeight="1" x14ac:dyDescent="0.2">
      <c r="A40" s="11"/>
      <c r="B40" s="11"/>
      <c r="C40" s="11"/>
      <c r="D40" s="6"/>
      <c r="E40" s="11"/>
      <c r="F40" s="11"/>
      <c r="G40" s="11"/>
      <c r="H40" s="11"/>
      <c r="I40" s="11"/>
      <c r="J40" s="11"/>
      <c r="K40" s="11"/>
      <c r="L40" s="11"/>
      <c r="M40" s="11"/>
    </row>
    <row r="41" spans="1:13" ht="14.25" customHeight="1" x14ac:dyDescent="0.2">
      <c r="A41" s="11"/>
      <c r="B41" s="11"/>
      <c r="C41" s="11"/>
      <c r="D41" s="6"/>
      <c r="E41" s="11"/>
      <c r="F41" s="11"/>
      <c r="G41" s="11"/>
      <c r="H41" s="11"/>
      <c r="I41" s="11"/>
      <c r="J41" s="11"/>
      <c r="K41" s="11"/>
      <c r="L41" s="11"/>
      <c r="M41" s="11"/>
    </row>
    <row r="42" spans="1:13" ht="14.25" customHeight="1" x14ac:dyDescent="0.2">
      <c r="A42" s="11"/>
      <c r="B42" s="11"/>
      <c r="C42" s="11"/>
      <c r="D42" s="6"/>
      <c r="E42" s="11"/>
      <c r="F42" s="11"/>
      <c r="G42" s="11"/>
      <c r="H42" s="11"/>
      <c r="I42" s="11"/>
      <c r="J42" s="11"/>
      <c r="K42" s="11"/>
      <c r="L42" s="11"/>
      <c r="M42" s="11"/>
    </row>
    <row r="43" spans="1:13" ht="14.25" customHeight="1" x14ac:dyDescent="0.2">
      <c r="A43" s="11"/>
      <c r="B43" s="11"/>
      <c r="C43" s="11"/>
      <c r="D43" s="6"/>
      <c r="E43" s="11"/>
      <c r="F43" s="11"/>
      <c r="G43" s="11"/>
      <c r="H43" s="11"/>
      <c r="I43" s="11"/>
      <c r="J43" s="11"/>
      <c r="K43" s="11"/>
      <c r="L43" s="11"/>
      <c r="M43" s="11"/>
    </row>
    <row r="44" spans="1:13" ht="14.25" customHeight="1" x14ac:dyDescent="0.2">
      <c r="A44" s="11"/>
      <c r="B44" s="11"/>
      <c r="C44" s="11"/>
      <c r="D44" s="6"/>
      <c r="E44" s="11"/>
      <c r="F44" s="11"/>
      <c r="G44" s="11"/>
      <c r="H44" s="11"/>
      <c r="I44" s="11"/>
      <c r="J44" s="11"/>
      <c r="K44" s="11"/>
      <c r="L44" s="11"/>
      <c r="M44" s="11"/>
    </row>
    <row r="45" spans="1:13" ht="14.25" customHeight="1" x14ac:dyDescent="0.2">
      <c r="A45" s="11"/>
      <c r="B45" s="11"/>
      <c r="C45" s="11"/>
      <c r="D45" s="6"/>
      <c r="E45" s="11"/>
      <c r="F45" s="11"/>
      <c r="G45" s="11"/>
      <c r="H45" s="11"/>
      <c r="I45" s="11"/>
      <c r="J45" s="11"/>
      <c r="K45" s="11"/>
      <c r="L45" s="11"/>
      <c r="M45" s="11"/>
    </row>
    <row r="46" spans="1:13" ht="14.25" customHeight="1" x14ac:dyDescent="0.2">
      <c r="A46" s="11"/>
      <c r="B46" s="11"/>
      <c r="C46" s="11"/>
      <c r="D46" s="6"/>
      <c r="E46" s="11"/>
      <c r="F46" s="11"/>
      <c r="G46" s="11"/>
      <c r="H46" s="11"/>
      <c r="I46" s="11"/>
      <c r="J46" s="11"/>
      <c r="K46" s="11"/>
      <c r="L46" s="11"/>
      <c r="M46" s="11"/>
    </row>
    <row r="47" spans="1:13" ht="14.25" customHeight="1" x14ac:dyDescent="0.2">
      <c r="A47" s="11"/>
      <c r="B47" s="11"/>
      <c r="C47" s="83"/>
      <c r="D47" s="6"/>
      <c r="E47" s="11"/>
      <c r="F47" s="11"/>
      <c r="G47" s="11"/>
      <c r="H47" s="11"/>
      <c r="I47" s="11"/>
      <c r="J47" s="11"/>
      <c r="K47" s="11"/>
      <c r="L47" s="11"/>
      <c r="M47" s="11"/>
    </row>
    <row r="48" spans="1:13" ht="14.25" customHeight="1" x14ac:dyDescent="0.2">
      <c r="A48" s="11"/>
      <c r="B48" s="11"/>
      <c r="C48" s="83"/>
      <c r="D48" s="6"/>
      <c r="E48" s="11"/>
      <c r="F48" s="11"/>
      <c r="G48" s="11"/>
      <c r="H48" s="11"/>
      <c r="I48" s="11"/>
      <c r="J48" s="11"/>
      <c r="K48" s="11"/>
      <c r="L48" s="11"/>
      <c r="M48" s="11"/>
    </row>
    <row r="49" spans="1:13" ht="14.25" customHeight="1" x14ac:dyDescent="0.2">
      <c r="A49" s="11"/>
      <c r="B49" s="11"/>
      <c r="C49" s="11"/>
      <c r="D49" s="6"/>
      <c r="E49" s="11"/>
      <c r="F49" s="11"/>
      <c r="G49" s="11"/>
      <c r="H49" s="11"/>
      <c r="I49" s="11"/>
      <c r="J49" s="11"/>
      <c r="K49" s="11"/>
      <c r="L49" s="11"/>
      <c r="M49" s="11"/>
    </row>
    <row r="50" spans="1:13" ht="14.25" customHeight="1" x14ac:dyDescent="0.2">
      <c r="A50" s="11"/>
      <c r="B50" s="11"/>
      <c r="C50" s="11"/>
      <c r="D50" s="6"/>
      <c r="E50" s="11"/>
      <c r="F50" s="11"/>
      <c r="G50" s="11"/>
      <c r="H50" s="11"/>
      <c r="I50" s="11"/>
      <c r="J50" s="11"/>
      <c r="K50" s="11"/>
      <c r="L50" s="11"/>
      <c r="M50" s="11"/>
    </row>
    <row r="51" spans="1:13" ht="14.25" customHeight="1" x14ac:dyDescent="0.2">
      <c r="A51" s="11"/>
      <c r="B51" s="11"/>
      <c r="C51" s="11"/>
      <c r="D51" s="6"/>
      <c r="E51" s="11"/>
      <c r="F51" s="11"/>
      <c r="G51" s="11"/>
      <c r="H51" s="11"/>
      <c r="I51" s="11"/>
      <c r="J51" s="11"/>
      <c r="K51" s="11"/>
      <c r="L51" s="11"/>
      <c r="M51" s="11"/>
    </row>
    <row r="52" spans="1:13" ht="14.25" customHeight="1" x14ac:dyDescent="0.2">
      <c r="A52" s="11"/>
      <c r="B52" s="11"/>
      <c r="C52" s="11"/>
      <c r="D52" s="6"/>
      <c r="E52" s="11"/>
      <c r="F52" s="11"/>
      <c r="G52" s="11"/>
      <c r="H52" s="11"/>
      <c r="I52" s="11"/>
      <c r="J52" s="11"/>
      <c r="K52" s="11"/>
      <c r="L52" s="11"/>
      <c r="M52" s="11"/>
    </row>
    <row r="53" spans="1:13" ht="14.25" customHeight="1" x14ac:dyDescent="0.2">
      <c r="A53" s="11"/>
      <c r="B53" s="11"/>
      <c r="C53" s="11"/>
      <c r="D53" s="6"/>
      <c r="E53" s="11"/>
      <c r="F53" s="11"/>
      <c r="G53" s="11"/>
      <c r="H53" s="11"/>
      <c r="I53" s="11"/>
      <c r="J53" s="11"/>
      <c r="K53" s="11"/>
      <c r="L53" s="11"/>
      <c r="M53" s="11"/>
    </row>
    <row r="54" spans="1:13" ht="14.25" customHeight="1" x14ac:dyDescent="0.2">
      <c r="A54" s="11"/>
      <c r="B54" s="11"/>
      <c r="C54" s="11"/>
      <c r="D54" s="6"/>
      <c r="E54" s="11"/>
      <c r="F54" s="11"/>
      <c r="G54" s="11"/>
      <c r="H54" s="11"/>
      <c r="I54" s="11"/>
      <c r="J54" s="11"/>
      <c r="K54" s="11"/>
      <c r="L54" s="11"/>
      <c r="M54" s="11"/>
    </row>
    <row r="55" spans="1:13" ht="14.25" customHeight="1" x14ac:dyDescent="0.2">
      <c r="A55" s="11"/>
      <c r="B55" s="11"/>
      <c r="C55" s="11"/>
      <c r="D55" s="6"/>
      <c r="E55" s="11"/>
      <c r="F55" s="11"/>
      <c r="G55" s="11"/>
      <c r="H55" s="11"/>
      <c r="I55" s="11"/>
      <c r="J55" s="11"/>
      <c r="K55" s="11"/>
      <c r="L55" s="11"/>
      <c r="M55" s="11"/>
    </row>
    <row r="56" spans="1:13" ht="14.25" customHeight="1" x14ac:dyDescent="0.2">
      <c r="A56" s="11"/>
      <c r="B56" s="11"/>
      <c r="C56" s="11"/>
      <c r="D56" s="6"/>
      <c r="E56" s="11"/>
      <c r="F56" s="11"/>
      <c r="G56" s="11"/>
      <c r="H56" s="11"/>
      <c r="I56" s="11"/>
      <c r="J56" s="11"/>
      <c r="K56" s="11"/>
      <c r="L56" s="11"/>
      <c r="M56" s="11"/>
    </row>
    <row r="57" spans="1:13" ht="14.25" customHeight="1" x14ac:dyDescent="0.2">
      <c r="A57" s="11"/>
      <c r="B57" s="11"/>
      <c r="C57" s="11"/>
      <c r="D57" s="6"/>
      <c r="E57" s="11"/>
      <c r="F57" s="11"/>
      <c r="G57" s="11"/>
      <c r="H57" s="11"/>
      <c r="I57" s="11"/>
      <c r="J57" s="11"/>
      <c r="K57" s="11"/>
      <c r="L57" s="11"/>
      <c r="M57" s="11"/>
    </row>
    <row r="58" spans="1:13" ht="14.25" customHeight="1" x14ac:dyDescent="0.2">
      <c r="A58" s="11"/>
      <c r="B58" s="11"/>
      <c r="C58" s="11"/>
      <c r="D58" s="6"/>
      <c r="E58" s="11"/>
      <c r="F58" s="11"/>
      <c r="G58" s="11"/>
      <c r="H58" s="11"/>
      <c r="I58" s="11"/>
      <c r="J58" s="11"/>
      <c r="K58" s="11"/>
      <c r="L58" s="11"/>
      <c r="M58" s="11"/>
    </row>
    <row r="59" spans="1:13" ht="14.25" customHeight="1" x14ac:dyDescent="0.2">
      <c r="A59" s="11"/>
      <c r="B59" s="11"/>
      <c r="C59" s="11"/>
      <c r="D59" s="6"/>
      <c r="E59" s="11"/>
      <c r="F59" s="11"/>
      <c r="G59" s="11"/>
      <c r="H59" s="11"/>
      <c r="I59" s="11"/>
      <c r="J59" s="11"/>
      <c r="K59" s="11"/>
      <c r="L59" s="11"/>
      <c r="M59" s="11"/>
    </row>
    <row r="60" spans="1:13" ht="14.25" customHeight="1" x14ac:dyDescent="0.2">
      <c r="A60" s="11"/>
      <c r="B60" s="11"/>
      <c r="C60" s="11"/>
      <c r="D60" s="6"/>
      <c r="E60" s="11"/>
      <c r="F60" s="11"/>
      <c r="G60" s="11"/>
      <c r="H60" s="11"/>
      <c r="I60" s="11"/>
      <c r="J60" s="11"/>
      <c r="K60" s="11"/>
      <c r="L60" s="11"/>
      <c r="M60" s="11"/>
    </row>
    <row r="61" spans="1:13" ht="14.25" customHeight="1" x14ac:dyDescent="0.2">
      <c r="A61" s="11"/>
      <c r="B61" s="11"/>
      <c r="C61" s="11"/>
      <c r="D61" s="6"/>
      <c r="E61" s="11"/>
      <c r="F61" s="11"/>
      <c r="G61" s="11"/>
      <c r="H61" s="11"/>
      <c r="I61" s="11"/>
      <c r="J61" s="11"/>
      <c r="K61" s="11"/>
      <c r="L61" s="11"/>
      <c r="M61" s="11"/>
    </row>
    <row r="62" spans="1:13" ht="14.25" customHeight="1" x14ac:dyDescent="0.2">
      <c r="A62" s="11"/>
      <c r="B62" s="11"/>
      <c r="C62" s="11"/>
      <c r="D62" s="6"/>
      <c r="E62" s="11"/>
      <c r="F62" s="11"/>
      <c r="G62" s="11"/>
      <c r="H62" s="11"/>
      <c r="I62" s="11"/>
      <c r="J62" s="11"/>
      <c r="K62" s="11"/>
      <c r="L62" s="11"/>
      <c r="M62" s="11"/>
    </row>
    <row r="63" spans="1:13" ht="14.25" customHeight="1" x14ac:dyDescent="0.2">
      <c r="A63" s="11"/>
      <c r="B63" s="11"/>
      <c r="C63" s="11"/>
      <c r="D63" s="6"/>
      <c r="E63" s="11"/>
      <c r="F63" s="11"/>
      <c r="G63" s="11"/>
      <c r="H63" s="11"/>
      <c r="I63" s="11"/>
      <c r="J63" s="11"/>
      <c r="K63" s="11"/>
      <c r="L63" s="11"/>
      <c r="M63" s="11"/>
    </row>
    <row r="64" spans="1:13" ht="14.25" customHeight="1" x14ac:dyDescent="0.2">
      <c r="A64" s="11"/>
      <c r="B64" s="11"/>
      <c r="C64" s="11"/>
      <c r="D64" s="6"/>
      <c r="E64" s="11"/>
      <c r="F64" s="11"/>
      <c r="G64" s="11"/>
      <c r="H64" s="11"/>
      <c r="I64" s="11"/>
      <c r="J64" s="11"/>
      <c r="K64" s="11"/>
      <c r="L64" s="11"/>
      <c r="M64" s="11"/>
    </row>
    <row r="65" spans="1:13" ht="14.25" customHeight="1" x14ac:dyDescent="0.2">
      <c r="A65" s="11"/>
      <c r="B65" s="11"/>
      <c r="C65" s="11"/>
      <c r="D65" s="6"/>
      <c r="E65" s="11"/>
      <c r="F65" s="11"/>
      <c r="G65" s="11"/>
      <c r="H65" s="11"/>
      <c r="I65" s="11"/>
      <c r="J65" s="11"/>
      <c r="K65" s="11"/>
      <c r="L65" s="11"/>
      <c r="M65" s="11"/>
    </row>
    <row r="66" spans="1:13" ht="14.25" customHeight="1" x14ac:dyDescent="0.2">
      <c r="A66" s="11"/>
      <c r="B66" s="11"/>
      <c r="C66" s="11"/>
      <c r="D66" s="6"/>
      <c r="E66" s="11"/>
      <c r="F66" s="11"/>
      <c r="G66" s="11"/>
      <c r="H66" s="11"/>
      <c r="I66" s="11"/>
      <c r="J66" s="11"/>
      <c r="K66" s="11"/>
      <c r="L66" s="11"/>
      <c r="M66" s="11"/>
    </row>
    <row r="67" spans="1:13" ht="14.25" customHeight="1" x14ac:dyDescent="0.2">
      <c r="A67" s="11"/>
      <c r="B67" s="11"/>
      <c r="C67" s="11"/>
      <c r="D67" s="6"/>
      <c r="E67" s="11"/>
      <c r="F67" s="11"/>
      <c r="G67" s="11"/>
      <c r="H67" s="11"/>
      <c r="I67" s="11"/>
      <c r="J67" s="11"/>
      <c r="K67" s="11"/>
      <c r="L67" s="11"/>
      <c r="M67" s="11"/>
    </row>
    <row r="68" spans="1:13" ht="14.25" customHeight="1" x14ac:dyDescent="0.2">
      <c r="A68" s="11"/>
      <c r="B68" s="11"/>
      <c r="C68" s="11"/>
      <c r="D68" s="6"/>
      <c r="E68" s="11"/>
      <c r="F68" s="11"/>
      <c r="G68" s="11"/>
      <c r="H68" s="11"/>
      <c r="I68" s="11"/>
      <c r="J68" s="11"/>
      <c r="K68" s="11"/>
      <c r="L68" s="11"/>
      <c r="M68" s="11"/>
    </row>
    <row r="69" spans="1:13" ht="14.25" customHeight="1" x14ac:dyDescent="0.2">
      <c r="A69" s="11"/>
      <c r="B69" s="11"/>
      <c r="C69" s="11"/>
      <c r="D69" s="6"/>
      <c r="E69" s="11"/>
      <c r="F69" s="11"/>
      <c r="G69" s="11"/>
      <c r="H69" s="11"/>
      <c r="I69" s="11"/>
      <c r="J69" s="11"/>
      <c r="K69" s="11"/>
      <c r="L69" s="11"/>
      <c r="M69" s="11"/>
    </row>
    <row r="70" spans="1:13" ht="14.25" customHeight="1" x14ac:dyDescent="0.2">
      <c r="A70" s="11"/>
      <c r="B70" s="11"/>
      <c r="C70" s="11"/>
      <c r="D70" s="6"/>
      <c r="E70" s="11"/>
      <c r="F70" s="11"/>
      <c r="G70" s="11"/>
      <c r="H70" s="11"/>
      <c r="I70" s="11"/>
      <c r="J70" s="11"/>
      <c r="K70" s="11"/>
      <c r="L70" s="11"/>
      <c r="M70" s="11"/>
    </row>
    <row r="71" spans="1:13" ht="14.25" customHeight="1" x14ac:dyDescent="0.2">
      <c r="A71" s="11"/>
      <c r="B71" s="11"/>
      <c r="C71" s="11"/>
      <c r="D71" s="6"/>
      <c r="E71" s="11"/>
      <c r="F71" s="11"/>
      <c r="G71" s="11"/>
      <c r="H71" s="11"/>
      <c r="I71" s="11"/>
      <c r="J71" s="11"/>
      <c r="K71" s="11"/>
      <c r="L71" s="11"/>
      <c r="M71" s="11"/>
    </row>
    <row r="72" spans="1:13" ht="14.25" customHeight="1" x14ac:dyDescent="0.2">
      <c r="A72" s="11"/>
      <c r="B72" s="11"/>
      <c r="C72" s="11"/>
      <c r="D72" s="6"/>
      <c r="E72" s="11"/>
      <c r="F72" s="11"/>
      <c r="G72" s="11"/>
      <c r="H72" s="11"/>
      <c r="I72" s="11"/>
      <c r="J72" s="11"/>
      <c r="K72" s="11"/>
      <c r="L72" s="11"/>
      <c r="M72" s="11"/>
    </row>
    <row r="73" spans="1:13" ht="14.25" customHeight="1" x14ac:dyDescent="0.2">
      <c r="A73" s="11"/>
      <c r="B73" s="11"/>
      <c r="C73" s="11"/>
      <c r="D73" s="6"/>
      <c r="E73" s="11"/>
      <c r="F73" s="11"/>
      <c r="G73" s="11"/>
      <c r="H73" s="11"/>
      <c r="I73" s="11"/>
      <c r="J73" s="11"/>
      <c r="K73" s="11"/>
      <c r="L73" s="11"/>
      <c r="M73" s="11"/>
    </row>
    <row r="74" spans="1:13" ht="14.25" customHeight="1" x14ac:dyDescent="0.2">
      <c r="A74" s="11"/>
      <c r="B74" s="11"/>
      <c r="C74" s="11"/>
      <c r="D74" s="6"/>
      <c r="E74" s="11"/>
      <c r="F74" s="11"/>
      <c r="G74" s="11"/>
      <c r="H74" s="11"/>
      <c r="I74" s="11"/>
      <c r="J74" s="11"/>
      <c r="K74" s="11"/>
      <c r="L74" s="11"/>
      <c r="M74" s="11"/>
    </row>
    <row r="75" spans="1:13" ht="14.25" customHeight="1" x14ac:dyDescent="0.2">
      <c r="A75" s="11"/>
      <c r="B75" s="11"/>
      <c r="C75" s="11"/>
      <c r="D75" s="6"/>
      <c r="E75" s="11"/>
      <c r="F75" s="11"/>
      <c r="G75" s="11"/>
      <c r="H75" s="11"/>
      <c r="I75" s="11"/>
      <c r="J75" s="11"/>
      <c r="K75" s="11"/>
      <c r="L75" s="11"/>
      <c r="M75" s="11"/>
    </row>
    <row r="76" spans="1:13" ht="14.25" customHeight="1" x14ac:dyDescent="0.2">
      <c r="A76" s="11"/>
      <c r="B76" s="11"/>
      <c r="C76" s="11"/>
      <c r="D76" s="6"/>
      <c r="E76" s="11"/>
      <c r="F76" s="11"/>
      <c r="G76" s="11"/>
      <c r="H76" s="11"/>
      <c r="I76" s="11"/>
      <c r="J76" s="11"/>
      <c r="K76" s="11"/>
      <c r="L76" s="11"/>
      <c r="M76" s="11"/>
    </row>
    <row r="77" spans="1:13" ht="14.25" customHeight="1" x14ac:dyDescent="0.2">
      <c r="A77" s="11"/>
      <c r="B77" s="11"/>
      <c r="C77" s="11"/>
      <c r="D77" s="6"/>
      <c r="E77" s="11"/>
      <c r="F77" s="11"/>
      <c r="G77" s="11"/>
      <c r="H77" s="11"/>
      <c r="I77" s="11"/>
      <c r="J77" s="11"/>
      <c r="K77" s="11"/>
      <c r="L77" s="11"/>
      <c r="M77" s="11"/>
    </row>
    <row r="78" spans="1:13" ht="14.25" customHeight="1" x14ac:dyDescent="0.2">
      <c r="A78" s="11"/>
      <c r="B78" s="11"/>
      <c r="C78" s="11"/>
      <c r="D78" s="6"/>
      <c r="E78" s="11"/>
      <c r="F78" s="11"/>
      <c r="G78" s="11"/>
      <c r="H78" s="11"/>
      <c r="I78" s="11"/>
      <c r="J78" s="11"/>
      <c r="K78" s="11"/>
      <c r="L78" s="11"/>
      <c r="M78" s="11"/>
    </row>
    <row r="79" spans="1:13" ht="14.25" customHeight="1" x14ac:dyDescent="0.2">
      <c r="A79" s="11"/>
      <c r="B79" s="11"/>
      <c r="C79" s="11"/>
      <c r="D79" s="6"/>
      <c r="E79" s="11"/>
      <c r="F79" s="11"/>
      <c r="G79" s="11"/>
      <c r="H79" s="11"/>
      <c r="I79" s="11"/>
      <c r="J79" s="11"/>
      <c r="K79" s="11"/>
      <c r="L79" s="11"/>
      <c r="M79" s="11"/>
    </row>
    <row r="80" spans="1:13" ht="14.25" customHeight="1" x14ac:dyDescent="0.2">
      <c r="A80" s="11"/>
      <c r="B80" s="11"/>
      <c r="C80" s="11"/>
      <c r="D80" s="6"/>
      <c r="E80" s="11"/>
      <c r="F80" s="11"/>
      <c r="G80" s="11"/>
      <c r="H80" s="11"/>
      <c r="I80" s="11"/>
      <c r="J80" s="11"/>
      <c r="K80" s="11"/>
      <c r="L80" s="11"/>
      <c r="M80" s="11"/>
    </row>
    <row r="81" spans="1:13" ht="14.25" customHeight="1" x14ac:dyDescent="0.2">
      <c r="A81" s="11"/>
      <c r="B81" s="11"/>
      <c r="C81" s="11"/>
      <c r="D81" s="6"/>
      <c r="E81" s="11"/>
      <c r="F81" s="11"/>
      <c r="G81" s="11"/>
      <c r="H81" s="11"/>
      <c r="I81" s="11"/>
      <c r="J81" s="11"/>
      <c r="K81" s="11"/>
      <c r="L81" s="11"/>
      <c r="M81" s="11"/>
    </row>
    <row r="82" spans="1:13" ht="14.25" customHeight="1" x14ac:dyDescent="0.2">
      <c r="A82" s="11"/>
      <c r="B82" s="11"/>
      <c r="C82" s="11"/>
      <c r="D82" s="6"/>
      <c r="E82" s="11"/>
      <c r="F82" s="11"/>
      <c r="G82" s="11"/>
      <c r="H82" s="11"/>
      <c r="I82" s="11"/>
      <c r="J82" s="11"/>
      <c r="K82" s="11"/>
      <c r="L82" s="11"/>
      <c r="M82" s="11"/>
    </row>
    <row r="83" spans="1:13" ht="14.25" customHeight="1" x14ac:dyDescent="0.2">
      <c r="A83" s="11"/>
      <c r="B83" s="11"/>
      <c r="C83" s="11"/>
      <c r="D83" s="6"/>
      <c r="E83" s="11"/>
      <c r="F83" s="11"/>
      <c r="G83" s="11"/>
      <c r="H83" s="11"/>
      <c r="I83" s="11"/>
      <c r="J83" s="11"/>
      <c r="K83" s="11"/>
      <c r="L83" s="11"/>
      <c r="M83" s="11"/>
    </row>
    <row r="84" spans="1:13" ht="14.25" customHeight="1" x14ac:dyDescent="0.2">
      <c r="A84" s="11"/>
      <c r="B84" s="11"/>
      <c r="C84" s="11"/>
      <c r="D84" s="6"/>
      <c r="E84" s="11"/>
      <c r="F84" s="11"/>
      <c r="G84" s="11"/>
      <c r="H84" s="11"/>
      <c r="I84" s="11"/>
      <c r="J84" s="11"/>
      <c r="K84" s="11"/>
      <c r="L84" s="11"/>
      <c r="M84" s="11"/>
    </row>
    <row r="85" spans="1:13" ht="14.25" customHeight="1" x14ac:dyDescent="0.2">
      <c r="A85" s="11"/>
      <c r="B85" s="11"/>
      <c r="C85" s="11"/>
      <c r="D85" s="6"/>
      <c r="E85" s="11"/>
      <c r="F85" s="11"/>
      <c r="G85" s="11"/>
      <c r="H85" s="11"/>
      <c r="I85" s="11"/>
      <c r="J85" s="11"/>
      <c r="K85" s="11"/>
      <c r="L85" s="11"/>
      <c r="M85" s="11"/>
    </row>
    <row r="86" spans="1:13" ht="14.25" customHeight="1" x14ac:dyDescent="0.2">
      <c r="A86" s="11"/>
      <c r="B86" s="11"/>
      <c r="C86" s="11"/>
      <c r="D86" s="6"/>
      <c r="E86" s="11"/>
      <c r="F86" s="11"/>
      <c r="G86" s="11"/>
      <c r="H86" s="11"/>
      <c r="I86" s="11"/>
      <c r="J86" s="11"/>
      <c r="K86" s="11"/>
      <c r="L86" s="11"/>
      <c r="M86" s="11"/>
    </row>
    <row r="87" spans="1:13" ht="14.25" customHeight="1" x14ac:dyDescent="0.2">
      <c r="A87" s="11"/>
      <c r="B87" s="11"/>
      <c r="C87" s="11"/>
      <c r="D87" s="6"/>
      <c r="E87" s="11"/>
      <c r="F87" s="11"/>
      <c r="G87" s="11"/>
      <c r="H87" s="11"/>
      <c r="I87" s="11"/>
      <c r="J87" s="11"/>
      <c r="K87" s="11"/>
      <c r="L87" s="11"/>
      <c r="M87" s="11"/>
    </row>
    <row r="88" spans="1:13" ht="14.25" customHeight="1" x14ac:dyDescent="0.2">
      <c r="A88" s="11"/>
      <c r="B88" s="11"/>
      <c r="C88" s="11"/>
      <c r="D88" s="6"/>
      <c r="E88" s="11"/>
      <c r="F88" s="11"/>
      <c r="G88" s="11"/>
      <c r="H88" s="11"/>
      <c r="I88" s="11"/>
      <c r="J88" s="11"/>
      <c r="K88" s="11"/>
      <c r="L88" s="11"/>
      <c r="M88" s="11"/>
    </row>
    <row r="89" spans="1:13" ht="14.25" customHeight="1" x14ac:dyDescent="0.2">
      <c r="A89" s="11"/>
      <c r="B89" s="11"/>
      <c r="C89" s="11"/>
      <c r="D89" s="6"/>
      <c r="E89" s="11"/>
      <c r="F89" s="11"/>
      <c r="G89" s="11"/>
      <c r="H89" s="11"/>
      <c r="I89" s="11"/>
      <c r="J89" s="11"/>
      <c r="K89" s="11"/>
      <c r="L89" s="11"/>
      <c r="M89" s="11"/>
    </row>
    <row r="90" spans="1:13" ht="14.25" customHeight="1" x14ac:dyDescent="0.2">
      <c r="A90" s="11"/>
      <c r="B90" s="11"/>
      <c r="C90" s="11"/>
      <c r="D90" s="6"/>
      <c r="E90" s="11"/>
      <c r="F90" s="11"/>
      <c r="G90" s="11"/>
      <c r="H90" s="11"/>
      <c r="I90" s="11"/>
      <c r="J90" s="11"/>
      <c r="K90" s="11"/>
      <c r="L90" s="11"/>
      <c r="M90" s="11"/>
    </row>
    <row r="91" spans="1:13" ht="14.25" customHeight="1" x14ac:dyDescent="0.2">
      <c r="A91" s="11"/>
      <c r="B91" s="11"/>
      <c r="C91" s="11"/>
      <c r="D91" s="6"/>
      <c r="E91" s="11"/>
      <c r="F91" s="11"/>
      <c r="G91" s="11"/>
      <c r="H91" s="11"/>
      <c r="I91" s="11"/>
      <c r="J91" s="11"/>
      <c r="K91" s="11"/>
      <c r="L91" s="11"/>
      <c r="M91" s="11"/>
    </row>
    <row r="92" spans="1:13" ht="14.25" customHeight="1" x14ac:dyDescent="0.2">
      <c r="A92" s="11"/>
      <c r="B92" s="11"/>
      <c r="C92" s="11"/>
      <c r="D92" s="6"/>
      <c r="E92" s="11"/>
      <c r="F92" s="11"/>
      <c r="G92" s="11"/>
      <c r="H92" s="11"/>
      <c r="I92" s="11"/>
      <c r="J92" s="11"/>
      <c r="K92" s="11"/>
      <c r="L92" s="11"/>
      <c r="M92" s="11"/>
    </row>
    <row r="93" spans="1:13" ht="14.25" customHeight="1" x14ac:dyDescent="0.2">
      <c r="A93" s="11"/>
      <c r="B93" s="11"/>
      <c r="C93" s="11"/>
      <c r="D93" s="6"/>
      <c r="E93" s="11"/>
      <c r="F93" s="11"/>
      <c r="G93" s="11"/>
      <c r="H93" s="11"/>
      <c r="I93" s="11"/>
      <c r="J93" s="11"/>
      <c r="K93" s="11"/>
      <c r="L93" s="11"/>
      <c r="M93" s="11"/>
    </row>
    <row r="94" spans="1:13" ht="14.25" customHeight="1" x14ac:dyDescent="0.2">
      <c r="A94" s="11"/>
      <c r="B94" s="11"/>
      <c r="C94" s="11"/>
      <c r="D94" s="6"/>
      <c r="E94" s="11"/>
      <c r="F94" s="11"/>
      <c r="G94" s="11"/>
      <c r="H94" s="11"/>
      <c r="I94" s="11"/>
      <c r="J94" s="11"/>
      <c r="K94" s="11"/>
      <c r="L94" s="11"/>
      <c r="M94" s="11"/>
    </row>
    <row r="95" spans="1:13" ht="14.25" customHeight="1" x14ac:dyDescent="0.2">
      <c r="A95" s="11"/>
      <c r="B95" s="11"/>
      <c r="C95" s="11"/>
      <c r="D95" s="6"/>
      <c r="E95" s="11"/>
      <c r="F95" s="11"/>
      <c r="G95" s="11"/>
      <c r="H95" s="11"/>
      <c r="I95" s="11"/>
      <c r="J95" s="11"/>
      <c r="K95" s="11"/>
      <c r="L95" s="11"/>
      <c r="M95" s="11"/>
    </row>
    <row r="96" spans="1:13" ht="14.25" customHeight="1" x14ac:dyDescent="0.2">
      <c r="A96" s="11"/>
      <c r="B96" s="11"/>
      <c r="C96" s="11"/>
      <c r="D96" s="6"/>
      <c r="E96" s="11"/>
      <c r="F96" s="11"/>
      <c r="G96" s="11"/>
      <c r="H96" s="11"/>
      <c r="I96" s="11"/>
      <c r="J96" s="11"/>
      <c r="K96" s="11"/>
      <c r="L96" s="11"/>
      <c r="M96" s="11"/>
    </row>
    <row r="97" spans="1:13" ht="14.25" customHeight="1" x14ac:dyDescent="0.2">
      <c r="A97" s="11"/>
      <c r="B97" s="11"/>
      <c r="C97" s="11"/>
      <c r="D97" s="6"/>
      <c r="E97" s="11"/>
      <c r="F97" s="11"/>
      <c r="G97" s="11"/>
      <c r="H97" s="11"/>
      <c r="I97" s="11"/>
      <c r="J97" s="11"/>
      <c r="K97" s="11"/>
      <c r="L97" s="11"/>
      <c r="M97" s="11"/>
    </row>
    <row r="98" spans="1:13" ht="14.25" customHeight="1" x14ac:dyDescent="0.2">
      <c r="A98" s="11"/>
      <c r="B98" s="11"/>
      <c r="C98" s="11"/>
      <c r="D98" s="6"/>
      <c r="E98" s="11"/>
      <c r="F98" s="11"/>
      <c r="G98" s="11"/>
      <c r="H98" s="11"/>
      <c r="I98" s="11"/>
      <c r="J98" s="11"/>
      <c r="K98" s="11"/>
      <c r="L98" s="11"/>
      <c r="M98" s="11"/>
    </row>
    <row r="99" spans="1:13" ht="14.25" customHeight="1" x14ac:dyDescent="0.2">
      <c r="A99" s="11"/>
      <c r="B99" s="11"/>
      <c r="C99" s="11"/>
      <c r="D99" s="6"/>
      <c r="E99" s="11"/>
      <c r="F99" s="11"/>
      <c r="G99" s="11"/>
      <c r="H99" s="11"/>
      <c r="I99" s="11"/>
      <c r="J99" s="11"/>
      <c r="K99" s="11"/>
      <c r="L99" s="11"/>
      <c r="M99" s="11"/>
    </row>
    <row r="100" spans="1:13" ht="14.25" customHeight="1" x14ac:dyDescent="0.2">
      <c r="A100" s="11"/>
      <c r="B100" s="11"/>
      <c r="C100" s="11"/>
      <c r="D100" s="6"/>
      <c r="E100" s="11"/>
      <c r="F100" s="11"/>
      <c r="G100" s="11"/>
      <c r="H100" s="11"/>
      <c r="I100" s="11"/>
      <c r="J100" s="11"/>
      <c r="K100" s="11"/>
      <c r="L100" s="11"/>
      <c r="M100" s="11"/>
    </row>
    <row r="101" spans="1:13" ht="14.25" customHeight="1" x14ac:dyDescent="0.2">
      <c r="A101" s="11"/>
      <c r="B101" s="11"/>
      <c r="C101" s="11"/>
      <c r="D101" s="6"/>
      <c r="E101" s="11"/>
      <c r="F101" s="11"/>
      <c r="G101" s="11"/>
      <c r="H101" s="11"/>
      <c r="I101" s="11"/>
      <c r="J101" s="11"/>
      <c r="K101" s="11"/>
      <c r="L101" s="11"/>
      <c r="M101" s="11"/>
    </row>
    <row r="102" spans="1:13" ht="14.25" customHeight="1" x14ac:dyDescent="0.2">
      <c r="A102" s="11"/>
      <c r="B102" s="11"/>
      <c r="C102" s="11"/>
      <c r="D102" s="6"/>
      <c r="E102" s="11"/>
      <c r="F102" s="11"/>
      <c r="G102" s="11"/>
      <c r="H102" s="11"/>
      <c r="I102" s="11"/>
      <c r="J102" s="11"/>
      <c r="K102" s="11"/>
      <c r="L102" s="11"/>
      <c r="M102" s="11"/>
    </row>
    <row r="103" spans="1:13" ht="14.25" customHeight="1" x14ac:dyDescent="0.2">
      <c r="A103" s="11"/>
      <c r="B103" s="11"/>
      <c r="C103" s="11"/>
      <c r="D103" s="6"/>
      <c r="E103" s="11"/>
      <c r="F103" s="11"/>
      <c r="G103" s="11"/>
      <c r="H103" s="11"/>
      <c r="I103" s="11"/>
      <c r="J103" s="11"/>
      <c r="K103" s="11"/>
      <c r="L103" s="11"/>
      <c r="M103" s="11"/>
    </row>
    <row r="104" spans="1:13" ht="14.25" customHeight="1" x14ac:dyDescent="0.2">
      <c r="A104" s="11"/>
      <c r="B104" s="11"/>
      <c r="C104" s="11"/>
      <c r="D104" s="6"/>
      <c r="E104" s="11"/>
      <c r="F104" s="11"/>
      <c r="G104" s="11"/>
      <c r="H104" s="11"/>
      <c r="I104" s="11"/>
      <c r="J104" s="11"/>
      <c r="K104" s="11"/>
      <c r="L104" s="11"/>
      <c r="M104" s="11"/>
    </row>
    <row r="105" spans="1:13" ht="14.25" customHeight="1" x14ac:dyDescent="0.2">
      <c r="A105" s="11"/>
      <c r="B105" s="11"/>
      <c r="C105" s="11"/>
      <c r="D105" s="6"/>
      <c r="E105" s="11"/>
      <c r="F105" s="11"/>
      <c r="G105" s="11"/>
      <c r="H105" s="11"/>
      <c r="I105" s="11"/>
      <c r="J105" s="11"/>
      <c r="K105" s="11"/>
      <c r="L105" s="11"/>
      <c r="M105" s="11"/>
    </row>
    <row r="106" spans="1:13" ht="14.25" customHeight="1" x14ac:dyDescent="0.2">
      <c r="A106" s="11"/>
      <c r="B106" s="11"/>
      <c r="C106" s="11"/>
      <c r="D106" s="6"/>
      <c r="E106" s="11"/>
      <c r="F106" s="11"/>
      <c r="G106" s="11"/>
      <c r="H106" s="11"/>
      <c r="I106" s="11"/>
      <c r="J106" s="11"/>
      <c r="K106" s="11"/>
      <c r="L106" s="11"/>
      <c r="M106" s="11"/>
    </row>
    <row r="107" spans="1:13" ht="14.25" customHeight="1" x14ac:dyDescent="0.2">
      <c r="A107" s="11"/>
      <c r="B107" s="11"/>
      <c r="C107" s="11"/>
      <c r="D107" s="6"/>
      <c r="E107" s="11"/>
      <c r="F107" s="11"/>
      <c r="G107" s="11"/>
      <c r="H107" s="11"/>
      <c r="I107" s="11"/>
      <c r="J107" s="11"/>
      <c r="K107" s="11"/>
      <c r="L107" s="11"/>
      <c r="M107" s="11"/>
    </row>
    <row r="108" spans="1:13" ht="14.25" customHeight="1" x14ac:dyDescent="0.2">
      <c r="A108" s="11"/>
      <c r="B108" s="11"/>
      <c r="C108" s="11"/>
      <c r="D108" s="6"/>
      <c r="E108" s="11"/>
      <c r="F108" s="11"/>
      <c r="G108" s="11"/>
      <c r="H108" s="11"/>
      <c r="I108" s="11"/>
      <c r="J108" s="11"/>
      <c r="K108" s="11"/>
      <c r="L108" s="11"/>
      <c r="M108" s="11"/>
    </row>
    <row r="109" spans="1:13" ht="14.25" customHeight="1" x14ac:dyDescent="0.2">
      <c r="A109" s="11"/>
      <c r="B109" s="11"/>
      <c r="C109" s="11"/>
      <c r="D109" s="6"/>
      <c r="E109" s="11"/>
      <c r="F109" s="11"/>
      <c r="G109" s="11"/>
      <c r="H109" s="11"/>
      <c r="I109" s="11"/>
      <c r="J109" s="11"/>
      <c r="K109" s="11"/>
      <c r="L109" s="11"/>
      <c r="M109" s="11"/>
    </row>
    <row r="110" spans="1:13" ht="14.25" customHeight="1" x14ac:dyDescent="0.2">
      <c r="A110" s="11"/>
      <c r="B110" s="11"/>
      <c r="C110" s="11"/>
      <c r="D110" s="6"/>
      <c r="E110" s="11"/>
      <c r="F110" s="11"/>
      <c r="G110" s="11"/>
      <c r="H110" s="11"/>
      <c r="I110" s="11"/>
      <c r="J110" s="11"/>
      <c r="K110" s="11"/>
      <c r="L110" s="11"/>
      <c r="M110" s="11"/>
    </row>
    <row r="111" spans="1:13" ht="14.25" customHeight="1" x14ac:dyDescent="0.2">
      <c r="A111" s="11"/>
      <c r="B111" s="11"/>
      <c r="C111" s="11"/>
      <c r="D111" s="6"/>
      <c r="E111" s="11"/>
      <c r="F111" s="11"/>
      <c r="G111" s="11"/>
      <c r="H111" s="11"/>
      <c r="I111" s="11"/>
      <c r="J111" s="11"/>
      <c r="K111" s="11"/>
      <c r="L111" s="11"/>
      <c r="M111" s="11"/>
    </row>
    <row r="112" spans="1:13" ht="14.25" customHeight="1" x14ac:dyDescent="0.2">
      <c r="A112" s="11"/>
      <c r="B112" s="11"/>
      <c r="C112" s="11"/>
      <c r="D112" s="6"/>
      <c r="E112" s="11"/>
      <c r="F112" s="11"/>
      <c r="G112" s="11"/>
      <c r="H112" s="11"/>
      <c r="I112" s="11"/>
      <c r="J112" s="11"/>
      <c r="K112" s="11"/>
      <c r="L112" s="11"/>
      <c r="M112" s="11"/>
    </row>
    <row r="113" spans="1:13" ht="14.25" customHeight="1" x14ac:dyDescent="0.2">
      <c r="A113" s="11"/>
      <c r="B113" s="11"/>
      <c r="C113" s="11"/>
      <c r="D113" s="6"/>
      <c r="E113" s="11"/>
      <c r="F113" s="11"/>
      <c r="G113" s="11"/>
      <c r="H113" s="11"/>
      <c r="I113" s="11"/>
      <c r="J113" s="11"/>
      <c r="K113" s="11"/>
      <c r="L113" s="11"/>
      <c r="M113" s="11"/>
    </row>
    <row r="114" spans="1:13" ht="14.25" customHeight="1" x14ac:dyDescent="0.2">
      <c r="A114" s="11"/>
      <c r="B114" s="11"/>
      <c r="C114" s="11"/>
      <c r="D114" s="6"/>
      <c r="E114" s="11"/>
      <c r="F114" s="11"/>
      <c r="G114" s="11"/>
      <c r="H114" s="11"/>
      <c r="I114" s="11"/>
      <c r="J114" s="11"/>
      <c r="K114" s="11"/>
      <c r="L114" s="11"/>
      <c r="M114" s="11"/>
    </row>
    <row r="115" spans="1:13" ht="14.25" customHeight="1" x14ac:dyDescent="0.2">
      <c r="A115" s="11"/>
      <c r="B115" s="11"/>
      <c r="C115" s="11"/>
      <c r="D115" s="6"/>
      <c r="E115" s="11"/>
      <c r="F115" s="11"/>
      <c r="G115" s="11"/>
      <c r="H115" s="11"/>
      <c r="I115" s="11"/>
      <c r="J115" s="11"/>
      <c r="K115" s="11"/>
      <c r="L115" s="11"/>
      <c r="M115" s="11"/>
    </row>
    <row r="116" spans="1:13" ht="14.25" customHeight="1" x14ac:dyDescent="0.2">
      <c r="A116" s="11"/>
      <c r="B116" s="11"/>
      <c r="C116" s="11"/>
      <c r="D116" s="6"/>
      <c r="E116" s="11"/>
      <c r="F116" s="11"/>
      <c r="G116" s="11"/>
      <c r="H116" s="11"/>
      <c r="I116" s="11"/>
      <c r="J116" s="11"/>
      <c r="K116" s="11"/>
      <c r="L116" s="11"/>
      <c r="M116" s="11"/>
    </row>
    <row r="117" spans="1:13" ht="14.25" customHeight="1" x14ac:dyDescent="0.2">
      <c r="A117" s="11"/>
      <c r="B117" s="11"/>
      <c r="C117" s="11"/>
      <c r="D117" s="6"/>
      <c r="E117" s="11"/>
      <c r="F117" s="11"/>
      <c r="G117" s="11"/>
      <c r="H117" s="11"/>
      <c r="I117" s="11"/>
      <c r="J117" s="11"/>
      <c r="K117" s="11"/>
      <c r="L117" s="11"/>
      <c r="M117" s="11"/>
    </row>
    <row r="118" spans="1:13" ht="14.25" customHeight="1" x14ac:dyDescent="0.2">
      <c r="A118" s="11"/>
      <c r="B118" s="11"/>
      <c r="C118" s="11"/>
      <c r="D118" s="6"/>
      <c r="E118" s="11"/>
      <c r="F118" s="11"/>
      <c r="G118" s="11"/>
      <c r="H118" s="11"/>
      <c r="I118" s="11"/>
      <c r="J118" s="11"/>
      <c r="K118" s="11"/>
      <c r="L118" s="11"/>
      <c r="M118" s="11"/>
    </row>
    <row r="119" spans="1:13" ht="14.25" customHeight="1" x14ac:dyDescent="0.2">
      <c r="A119" s="11"/>
      <c r="B119" s="11"/>
      <c r="C119" s="11"/>
      <c r="D119" s="6"/>
      <c r="E119" s="11"/>
      <c r="F119" s="11"/>
      <c r="G119" s="11"/>
      <c r="H119" s="11"/>
      <c r="I119" s="11"/>
      <c r="J119" s="11"/>
      <c r="K119" s="11"/>
      <c r="L119" s="11"/>
      <c r="M119" s="11"/>
    </row>
    <row r="120" spans="1:13" ht="14.25" customHeight="1" x14ac:dyDescent="0.2">
      <c r="A120" s="11"/>
      <c r="B120" s="11"/>
      <c r="C120" s="11"/>
      <c r="D120" s="6"/>
      <c r="E120" s="11"/>
      <c r="F120" s="11"/>
      <c r="G120" s="11"/>
      <c r="H120" s="11"/>
      <c r="I120" s="11"/>
      <c r="J120" s="11"/>
      <c r="K120" s="11"/>
      <c r="L120" s="11"/>
      <c r="M120" s="11"/>
    </row>
    <row r="121" spans="1:13" ht="14.25" customHeight="1" x14ac:dyDescent="0.2">
      <c r="A121" s="11"/>
      <c r="B121" s="11"/>
      <c r="C121" s="11"/>
      <c r="D121" s="6"/>
      <c r="E121" s="11"/>
      <c r="F121" s="11"/>
      <c r="G121" s="11"/>
      <c r="H121" s="11"/>
      <c r="I121" s="11"/>
      <c r="J121" s="11"/>
      <c r="K121" s="11"/>
      <c r="L121" s="11"/>
      <c r="M121" s="11"/>
    </row>
    <row r="122" spans="1:13" ht="14.25" customHeight="1" x14ac:dyDescent="0.2">
      <c r="A122" s="11"/>
      <c r="B122" s="11"/>
      <c r="C122" s="11"/>
      <c r="D122" s="6"/>
      <c r="E122" s="11"/>
      <c r="F122" s="11"/>
      <c r="G122" s="11"/>
      <c r="H122" s="11"/>
      <c r="I122" s="11"/>
      <c r="J122" s="11"/>
      <c r="K122" s="11"/>
      <c r="L122" s="11"/>
      <c r="M122" s="11"/>
    </row>
    <row r="123" spans="1:13" ht="14.25" customHeight="1" x14ac:dyDescent="0.2">
      <c r="A123" s="11"/>
      <c r="B123" s="11"/>
      <c r="C123" s="11"/>
      <c r="D123" s="6"/>
      <c r="E123" s="11"/>
      <c r="F123" s="11"/>
      <c r="G123" s="11"/>
      <c r="H123" s="11"/>
      <c r="I123" s="11"/>
      <c r="J123" s="11"/>
      <c r="K123" s="11"/>
      <c r="L123" s="11"/>
      <c r="M123" s="11"/>
    </row>
    <row r="124" spans="1:13" ht="14.25" customHeight="1" x14ac:dyDescent="0.2">
      <c r="A124" s="11"/>
      <c r="B124" s="11"/>
      <c r="C124" s="11"/>
      <c r="D124" s="6"/>
      <c r="E124" s="11"/>
      <c r="F124" s="11"/>
      <c r="G124" s="11"/>
      <c r="H124" s="11"/>
      <c r="I124" s="11"/>
      <c r="J124" s="11"/>
      <c r="K124" s="11"/>
      <c r="L124" s="11"/>
      <c r="M124" s="11"/>
    </row>
    <row r="125" spans="1:13" ht="14.25" customHeight="1" x14ac:dyDescent="0.2">
      <c r="A125" s="11"/>
      <c r="B125" s="11"/>
      <c r="C125" s="11"/>
      <c r="D125" s="6"/>
      <c r="E125" s="11"/>
      <c r="F125" s="11"/>
      <c r="G125" s="11"/>
      <c r="H125" s="11"/>
      <c r="I125" s="11"/>
      <c r="J125" s="11"/>
      <c r="K125" s="11"/>
      <c r="L125" s="11"/>
      <c r="M125" s="11"/>
    </row>
    <row r="126" spans="1:13" ht="14.25" customHeight="1" x14ac:dyDescent="0.2">
      <c r="A126" s="11"/>
      <c r="B126" s="11"/>
      <c r="C126" s="11"/>
      <c r="D126" s="6"/>
      <c r="E126" s="11"/>
      <c r="F126" s="11"/>
      <c r="G126" s="11"/>
      <c r="H126" s="11"/>
      <c r="I126" s="11"/>
      <c r="J126" s="11"/>
      <c r="K126" s="11"/>
      <c r="L126" s="11"/>
      <c r="M126" s="11"/>
    </row>
    <row r="127" spans="1:13" ht="14.25" customHeight="1" x14ac:dyDescent="0.2">
      <c r="A127" s="11"/>
      <c r="B127" s="11"/>
      <c r="C127" s="11"/>
      <c r="D127" s="6"/>
      <c r="E127" s="11"/>
      <c r="F127" s="11"/>
      <c r="G127" s="11"/>
      <c r="H127" s="11"/>
      <c r="I127" s="11"/>
      <c r="J127" s="11"/>
      <c r="K127" s="11"/>
      <c r="L127" s="11"/>
      <c r="M127" s="11"/>
    </row>
    <row r="128" spans="1:13" ht="14.25" customHeight="1" x14ac:dyDescent="0.2">
      <c r="A128" s="11"/>
      <c r="B128" s="11"/>
      <c r="C128" s="11"/>
      <c r="D128" s="6"/>
      <c r="E128" s="11"/>
      <c r="F128" s="11"/>
      <c r="G128" s="11"/>
      <c r="H128" s="11"/>
      <c r="I128" s="11"/>
      <c r="J128" s="11"/>
      <c r="K128" s="11"/>
      <c r="L128" s="11"/>
      <c r="M128" s="11"/>
    </row>
    <row r="129" spans="1:13" ht="14.25" customHeight="1" x14ac:dyDescent="0.2">
      <c r="A129" s="11"/>
      <c r="B129" s="11"/>
      <c r="C129" s="11"/>
      <c r="D129" s="6"/>
      <c r="E129" s="11"/>
      <c r="F129" s="11"/>
      <c r="G129" s="11"/>
      <c r="H129" s="11"/>
      <c r="I129" s="11"/>
      <c r="J129" s="11"/>
      <c r="K129" s="11"/>
      <c r="L129" s="11"/>
      <c r="M129" s="11"/>
    </row>
    <row r="130" spans="1:13" ht="14.25" customHeight="1" x14ac:dyDescent="0.2">
      <c r="A130" s="11"/>
      <c r="B130" s="11"/>
      <c r="C130" s="11"/>
      <c r="D130" s="6"/>
      <c r="E130" s="11"/>
      <c r="F130" s="11"/>
      <c r="G130" s="11"/>
      <c r="H130" s="11"/>
      <c r="I130" s="11"/>
      <c r="J130" s="11"/>
      <c r="K130" s="11"/>
      <c r="L130" s="11"/>
      <c r="M130" s="11"/>
    </row>
    <row r="131" spans="1:13" ht="14.25" customHeight="1" x14ac:dyDescent="0.2">
      <c r="A131" s="11"/>
      <c r="B131" s="11"/>
      <c r="C131" s="11"/>
      <c r="D131" s="6"/>
      <c r="E131" s="11"/>
      <c r="F131" s="11"/>
      <c r="G131" s="11"/>
      <c r="H131" s="11"/>
      <c r="I131" s="11"/>
      <c r="J131" s="11"/>
      <c r="K131" s="11"/>
      <c r="L131" s="11"/>
      <c r="M131" s="11"/>
    </row>
    <row r="132" spans="1:13" ht="14.25" customHeight="1" x14ac:dyDescent="0.2">
      <c r="A132" s="11"/>
      <c r="B132" s="11"/>
      <c r="C132" s="11"/>
      <c r="D132" s="6"/>
      <c r="E132" s="11"/>
      <c r="F132" s="11"/>
      <c r="G132" s="11"/>
      <c r="H132" s="11"/>
      <c r="I132" s="11"/>
      <c r="J132" s="11"/>
      <c r="K132" s="11"/>
      <c r="L132" s="11"/>
      <c r="M132" s="11"/>
    </row>
    <row r="133" spans="1:13" ht="14.25" customHeight="1" x14ac:dyDescent="0.2">
      <c r="A133" s="11"/>
      <c r="B133" s="11"/>
      <c r="C133" s="11"/>
      <c r="D133" s="6"/>
      <c r="E133" s="11"/>
      <c r="F133" s="11"/>
      <c r="G133" s="11"/>
      <c r="H133" s="11"/>
      <c r="I133" s="11"/>
      <c r="J133" s="11"/>
      <c r="K133" s="11"/>
      <c r="L133" s="11"/>
      <c r="M133" s="11"/>
    </row>
    <row r="134" spans="1:13" ht="14.25" customHeight="1" x14ac:dyDescent="0.2">
      <c r="A134" s="11"/>
      <c r="B134" s="11"/>
      <c r="C134" s="11"/>
      <c r="D134" s="6"/>
      <c r="E134" s="11"/>
      <c r="F134" s="11"/>
      <c r="G134" s="11"/>
      <c r="H134" s="11"/>
      <c r="I134" s="11"/>
      <c r="J134" s="11"/>
      <c r="K134" s="11"/>
      <c r="L134" s="11"/>
      <c r="M134" s="11"/>
    </row>
    <row r="135" spans="1:13" ht="14.25" customHeight="1" x14ac:dyDescent="0.2">
      <c r="A135" s="11"/>
      <c r="B135" s="11"/>
      <c r="C135" s="11"/>
      <c r="D135" s="6"/>
      <c r="E135" s="11"/>
      <c r="F135" s="11"/>
      <c r="G135" s="11"/>
      <c r="H135" s="11"/>
      <c r="I135" s="11"/>
      <c r="J135" s="11"/>
      <c r="K135" s="11"/>
      <c r="L135" s="11"/>
      <c r="M135" s="11"/>
    </row>
    <row r="136" spans="1:13" ht="14.25" customHeight="1" x14ac:dyDescent="0.2">
      <c r="A136" s="11"/>
      <c r="B136" s="11"/>
      <c r="C136" s="11"/>
      <c r="D136" s="6"/>
      <c r="E136" s="11"/>
      <c r="F136" s="11"/>
      <c r="G136" s="11"/>
      <c r="H136" s="11"/>
      <c r="I136" s="11"/>
      <c r="J136" s="11"/>
      <c r="K136" s="11"/>
      <c r="L136" s="11"/>
      <c r="M136" s="11"/>
    </row>
    <row r="137" spans="1:13" ht="14.25" customHeight="1" x14ac:dyDescent="0.2">
      <c r="A137" s="11"/>
      <c r="B137" s="11"/>
      <c r="C137" s="11"/>
      <c r="D137" s="6"/>
      <c r="E137" s="11"/>
      <c r="F137" s="11"/>
      <c r="G137" s="11"/>
      <c r="H137" s="11"/>
      <c r="I137" s="11"/>
      <c r="J137" s="11"/>
      <c r="K137" s="11"/>
      <c r="L137" s="11"/>
      <c r="M137" s="11"/>
    </row>
    <row r="138" spans="1:13" ht="14.25" customHeight="1" x14ac:dyDescent="0.2">
      <c r="A138" s="11"/>
      <c r="B138" s="11"/>
      <c r="C138" s="11"/>
      <c r="D138" s="6"/>
      <c r="E138" s="11"/>
      <c r="F138" s="11"/>
      <c r="G138" s="11"/>
      <c r="H138" s="11"/>
      <c r="I138" s="11"/>
      <c r="J138" s="11"/>
      <c r="K138" s="11"/>
      <c r="L138" s="11"/>
      <c r="M138" s="11"/>
    </row>
    <row r="139" spans="1:13" ht="14.25" customHeight="1" x14ac:dyDescent="0.2">
      <c r="A139" s="11"/>
      <c r="B139" s="11"/>
      <c r="C139" s="11"/>
      <c r="D139" s="6"/>
      <c r="E139" s="11"/>
      <c r="F139" s="11"/>
      <c r="G139" s="11"/>
      <c r="H139" s="11"/>
      <c r="I139" s="11"/>
      <c r="J139" s="11"/>
      <c r="K139" s="11"/>
      <c r="L139" s="11"/>
      <c r="M139" s="11"/>
    </row>
    <row r="140" spans="1:13" ht="14.25" customHeight="1" x14ac:dyDescent="0.2">
      <c r="A140" s="11"/>
      <c r="B140" s="11"/>
      <c r="C140" s="11"/>
      <c r="D140" s="6"/>
      <c r="E140" s="11"/>
      <c r="F140" s="11"/>
      <c r="G140" s="11"/>
      <c r="H140" s="11"/>
      <c r="I140" s="11"/>
      <c r="J140" s="11"/>
      <c r="K140" s="11"/>
      <c r="L140" s="11"/>
      <c r="M140" s="11"/>
    </row>
    <row r="141" spans="1:13" ht="14.25" customHeight="1" x14ac:dyDescent="0.2">
      <c r="A141" s="11"/>
      <c r="B141" s="11"/>
      <c r="C141" s="11"/>
      <c r="D141" s="6"/>
      <c r="E141" s="11"/>
      <c r="F141" s="11"/>
      <c r="G141" s="11"/>
      <c r="H141" s="11"/>
      <c r="I141" s="11"/>
      <c r="J141" s="11"/>
      <c r="K141" s="11"/>
      <c r="L141" s="11"/>
      <c r="M141" s="11"/>
    </row>
    <row r="142" spans="1:13" ht="14.25" customHeight="1" x14ac:dyDescent="0.2">
      <c r="A142" s="11"/>
      <c r="B142" s="11"/>
      <c r="C142" s="11"/>
      <c r="D142" s="6"/>
      <c r="E142" s="11"/>
      <c r="F142" s="11"/>
      <c r="G142" s="11"/>
      <c r="H142" s="11"/>
      <c r="I142" s="11"/>
      <c r="J142" s="11"/>
      <c r="K142" s="11"/>
      <c r="L142" s="11"/>
      <c r="M142" s="11"/>
    </row>
    <row r="143" spans="1:13" ht="14.25" customHeight="1" x14ac:dyDescent="0.2">
      <c r="A143" s="11"/>
      <c r="B143" s="11"/>
      <c r="C143" s="11"/>
      <c r="D143" s="6"/>
      <c r="E143" s="11"/>
      <c r="F143" s="11"/>
      <c r="G143" s="11"/>
      <c r="H143" s="11"/>
      <c r="I143" s="11"/>
      <c r="J143" s="11"/>
      <c r="K143" s="11"/>
      <c r="L143" s="11"/>
      <c r="M143" s="11"/>
    </row>
    <row r="144" spans="1:13" ht="14.25" customHeight="1" x14ac:dyDescent="0.2">
      <c r="A144" s="11"/>
      <c r="B144" s="11"/>
      <c r="C144" s="11"/>
      <c r="D144" s="6"/>
      <c r="E144" s="11"/>
      <c r="F144" s="11"/>
      <c r="G144" s="11"/>
      <c r="H144" s="11"/>
      <c r="I144" s="11"/>
      <c r="J144" s="11"/>
      <c r="K144" s="11"/>
      <c r="L144" s="11"/>
      <c r="M144" s="11"/>
    </row>
    <row r="145" spans="1:13" ht="14.25" customHeight="1" x14ac:dyDescent="0.2">
      <c r="A145" s="11"/>
      <c r="B145" s="11"/>
      <c r="C145" s="11"/>
      <c r="D145" s="6"/>
      <c r="E145" s="11"/>
      <c r="F145" s="11"/>
      <c r="G145" s="11"/>
      <c r="H145" s="11"/>
      <c r="I145" s="11"/>
      <c r="J145" s="11"/>
      <c r="K145" s="11"/>
      <c r="L145" s="11"/>
      <c r="M145" s="11"/>
    </row>
    <row r="146" spans="1:13" ht="14.25" customHeight="1" x14ac:dyDescent="0.2">
      <c r="A146" s="11"/>
      <c r="B146" s="11"/>
      <c r="C146" s="11"/>
      <c r="D146" s="6"/>
      <c r="E146" s="11"/>
      <c r="F146" s="11"/>
      <c r="G146" s="11"/>
      <c r="H146" s="11"/>
      <c r="I146" s="11"/>
      <c r="J146" s="11"/>
      <c r="K146" s="11"/>
      <c r="L146" s="11"/>
      <c r="M146" s="11"/>
    </row>
    <row r="147" spans="1:13" ht="14.25" customHeight="1" x14ac:dyDescent="0.2">
      <c r="A147" s="11"/>
      <c r="B147" s="11"/>
      <c r="C147" s="11"/>
      <c r="D147" s="6"/>
      <c r="E147" s="11"/>
      <c r="F147" s="11"/>
      <c r="G147" s="11"/>
      <c r="H147" s="11"/>
      <c r="I147" s="11"/>
      <c r="J147" s="11"/>
      <c r="K147" s="11"/>
      <c r="L147" s="11"/>
      <c r="M147" s="11"/>
    </row>
    <row r="148" spans="1:13" ht="14.25" customHeight="1" x14ac:dyDescent="0.2">
      <c r="A148" s="11"/>
      <c r="B148" s="11"/>
      <c r="C148" s="11"/>
      <c r="D148" s="6"/>
      <c r="E148" s="11"/>
      <c r="F148" s="11"/>
      <c r="G148" s="11"/>
      <c r="H148" s="11"/>
      <c r="I148" s="11"/>
      <c r="J148" s="11"/>
      <c r="K148" s="11"/>
      <c r="L148" s="11"/>
      <c r="M148" s="11"/>
    </row>
    <row r="149" spans="1:13" ht="14.25" customHeight="1" x14ac:dyDescent="0.2">
      <c r="A149" s="11"/>
      <c r="B149" s="11"/>
      <c r="C149" s="11"/>
      <c r="D149" s="6"/>
      <c r="E149" s="11"/>
      <c r="F149" s="11"/>
      <c r="G149" s="11"/>
      <c r="H149" s="11"/>
      <c r="I149" s="11"/>
      <c r="J149" s="11"/>
      <c r="K149" s="11"/>
      <c r="L149" s="11"/>
      <c r="M149" s="11"/>
    </row>
    <row r="150" spans="1:13" ht="14.25" customHeight="1" x14ac:dyDescent="0.2">
      <c r="A150" s="11"/>
      <c r="B150" s="11"/>
      <c r="C150" s="11"/>
      <c r="D150" s="6"/>
      <c r="E150" s="11"/>
      <c r="F150" s="11"/>
      <c r="G150" s="11"/>
      <c r="H150" s="11"/>
      <c r="I150" s="11"/>
      <c r="J150" s="11"/>
      <c r="K150" s="11"/>
      <c r="L150" s="11"/>
      <c r="M150" s="11"/>
    </row>
    <row r="151" spans="1:13" ht="14.25" customHeight="1" x14ac:dyDescent="0.2">
      <c r="A151" s="11"/>
      <c r="B151" s="11"/>
      <c r="C151" s="11"/>
      <c r="D151" s="6"/>
      <c r="E151" s="11"/>
      <c r="F151" s="11"/>
      <c r="G151" s="11"/>
      <c r="H151" s="11"/>
      <c r="I151" s="11"/>
      <c r="J151" s="11"/>
      <c r="K151" s="11"/>
      <c r="L151" s="11"/>
      <c r="M151" s="11"/>
    </row>
    <row r="152" spans="1:13" ht="14.25" customHeight="1" x14ac:dyDescent="0.2">
      <c r="A152" s="11"/>
      <c r="B152" s="11"/>
      <c r="C152" s="11"/>
      <c r="D152" s="6"/>
      <c r="E152" s="11"/>
      <c r="F152" s="11"/>
      <c r="G152" s="11"/>
      <c r="H152" s="11"/>
      <c r="I152" s="11"/>
      <c r="J152" s="11"/>
      <c r="K152" s="11"/>
      <c r="L152" s="11"/>
      <c r="M152" s="11"/>
    </row>
    <row r="153" spans="1:13" ht="14.25" customHeight="1" x14ac:dyDescent="0.2">
      <c r="A153" s="11"/>
      <c r="B153" s="11"/>
      <c r="C153" s="11"/>
      <c r="D153" s="6"/>
      <c r="E153" s="11"/>
      <c r="F153" s="11"/>
      <c r="G153" s="11"/>
      <c r="H153" s="11"/>
      <c r="I153" s="11"/>
      <c r="J153" s="11"/>
      <c r="K153" s="11"/>
      <c r="L153" s="11"/>
      <c r="M153" s="11"/>
    </row>
    <row r="154" spans="1:13" ht="14.25" customHeight="1" x14ac:dyDescent="0.2">
      <c r="A154" s="11"/>
      <c r="B154" s="11"/>
      <c r="C154" s="11"/>
      <c r="D154" s="6"/>
      <c r="E154" s="11"/>
      <c r="F154" s="11"/>
      <c r="G154" s="11"/>
      <c r="H154" s="11"/>
      <c r="I154" s="11"/>
      <c r="J154" s="11"/>
      <c r="K154" s="11"/>
      <c r="L154" s="11"/>
      <c r="M154" s="11"/>
    </row>
    <row r="155" spans="1:13" ht="14.25" customHeight="1" x14ac:dyDescent="0.2">
      <c r="A155" s="11"/>
      <c r="B155" s="11"/>
      <c r="C155" s="11"/>
      <c r="D155" s="6"/>
      <c r="E155" s="11"/>
      <c r="F155" s="11"/>
      <c r="G155" s="11"/>
      <c r="H155" s="11"/>
      <c r="I155" s="11"/>
      <c r="J155" s="11"/>
      <c r="K155" s="11"/>
      <c r="L155" s="11"/>
      <c r="M155" s="11"/>
    </row>
    <row r="156" spans="1:13" ht="14.25" customHeight="1" x14ac:dyDescent="0.2">
      <c r="A156" s="11"/>
      <c r="B156" s="11"/>
      <c r="C156" s="11"/>
      <c r="D156" s="6"/>
      <c r="E156" s="11"/>
      <c r="F156" s="11"/>
      <c r="G156" s="11"/>
      <c r="H156" s="11"/>
      <c r="I156" s="11"/>
      <c r="J156" s="11"/>
      <c r="K156" s="11"/>
      <c r="L156" s="11"/>
      <c r="M156" s="11"/>
    </row>
    <row r="157" spans="1:13" ht="14.25" customHeight="1" x14ac:dyDescent="0.2">
      <c r="A157" s="11"/>
      <c r="B157" s="11"/>
      <c r="C157" s="11"/>
      <c r="D157" s="6"/>
      <c r="E157" s="11"/>
      <c r="F157" s="11"/>
      <c r="G157" s="11"/>
      <c r="H157" s="11"/>
      <c r="I157" s="11"/>
      <c r="J157" s="11"/>
      <c r="K157" s="11"/>
      <c r="L157" s="11"/>
      <c r="M157" s="11"/>
    </row>
    <row r="158" spans="1:13" ht="14.25" customHeight="1" x14ac:dyDescent="0.2">
      <c r="A158" s="11"/>
      <c r="B158" s="11"/>
      <c r="C158" s="11"/>
      <c r="D158" s="6"/>
      <c r="E158" s="11"/>
      <c r="F158" s="11"/>
      <c r="G158" s="11"/>
      <c r="H158" s="11"/>
      <c r="I158" s="11"/>
      <c r="J158" s="11"/>
      <c r="K158" s="11"/>
      <c r="L158" s="11"/>
      <c r="M158" s="11"/>
    </row>
    <row r="159" spans="1:13" ht="14.25" customHeight="1" x14ac:dyDescent="0.2">
      <c r="A159" s="11"/>
      <c r="B159" s="11"/>
      <c r="C159" s="11"/>
      <c r="D159" s="6"/>
      <c r="E159" s="11"/>
      <c r="F159" s="11"/>
      <c r="G159" s="11"/>
      <c r="H159" s="11"/>
      <c r="I159" s="11"/>
      <c r="J159" s="11"/>
      <c r="K159" s="11"/>
      <c r="L159" s="11"/>
      <c r="M159" s="11"/>
    </row>
    <row r="160" spans="1:13" ht="14.25" customHeight="1" x14ac:dyDescent="0.2">
      <c r="A160" s="11"/>
      <c r="B160" s="11"/>
      <c r="C160" s="11"/>
      <c r="D160" s="6"/>
      <c r="E160" s="11"/>
      <c r="F160" s="11"/>
      <c r="G160" s="11"/>
      <c r="H160" s="11"/>
      <c r="I160" s="11"/>
      <c r="J160" s="11"/>
      <c r="K160" s="11"/>
      <c r="L160" s="11"/>
      <c r="M160" s="11"/>
    </row>
    <row r="161" spans="1:13" ht="14.25" customHeight="1" x14ac:dyDescent="0.2">
      <c r="A161" s="11"/>
      <c r="B161" s="11"/>
      <c r="C161" s="11"/>
      <c r="D161" s="6"/>
      <c r="E161" s="11"/>
      <c r="F161" s="11"/>
      <c r="G161" s="11"/>
      <c r="H161" s="11"/>
      <c r="I161" s="11"/>
      <c r="J161" s="11"/>
      <c r="K161" s="11"/>
      <c r="L161" s="11"/>
      <c r="M161" s="11"/>
    </row>
    <row r="162" spans="1:13" ht="14.25" customHeight="1" x14ac:dyDescent="0.2">
      <c r="A162" s="11"/>
      <c r="B162" s="11"/>
      <c r="C162" s="11"/>
      <c r="D162" s="6"/>
      <c r="E162" s="11"/>
      <c r="F162" s="11"/>
      <c r="G162" s="11"/>
      <c r="H162" s="11"/>
      <c r="I162" s="11"/>
      <c r="J162" s="11"/>
      <c r="K162" s="11"/>
      <c r="L162" s="11"/>
      <c r="M162" s="11"/>
    </row>
    <row r="163" spans="1:13" ht="14.25" customHeight="1" x14ac:dyDescent="0.2">
      <c r="A163" s="11"/>
      <c r="B163" s="11"/>
      <c r="C163" s="11"/>
      <c r="D163" s="6"/>
      <c r="E163" s="11"/>
      <c r="F163" s="11"/>
      <c r="G163" s="11"/>
      <c r="H163" s="11"/>
      <c r="I163" s="11"/>
      <c r="J163" s="11"/>
      <c r="K163" s="11"/>
      <c r="L163" s="11"/>
      <c r="M163" s="11"/>
    </row>
    <row r="164" spans="1:13" ht="14.25" customHeight="1" x14ac:dyDescent="0.2">
      <c r="A164" s="11"/>
      <c r="B164" s="11"/>
      <c r="C164" s="11"/>
      <c r="D164" s="6"/>
      <c r="E164" s="11"/>
      <c r="F164" s="11"/>
      <c r="G164" s="11"/>
      <c r="H164" s="11"/>
      <c r="I164" s="11"/>
      <c r="J164" s="11"/>
      <c r="K164" s="11"/>
      <c r="L164" s="11"/>
      <c r="M164" s="11"/>
    </row>
    <row r="165" spans="1:13" ht="14.25" customHeight="1" x14ac:dyDescent="0.2">
      <c r="A165" s="11"/>
      <c r="B165" s="11"/>
      <c r="C165" s="11"/>
      <c r="D165" s="6"/>
      <c r="E165" s="11"/>
      <c r="F165" s="11"/>
      <c r="G165" s="11"/>
      <c r="H165" s="11"/>
      <c r="I165" s="11"/>
      <c r="J165" s="11"/>
      <c r="K165" s="11"/>
      <c r="L165" s="11"/>
      <c r="M165" s="11"/>
    </row>
    <row r="166" spans="1:13" ht="14.25" customHeight="1" x14ac:dyDescent="0.2">
      <c r="A166" s="11"/>
      <c r="B166" s="11"/>
      <c r="C166" s="11"/>
      <c r="D166" s="6"/>
      <c r="E166" s="11"/>
      <c r="F166" s="11"/>
      <c r="G166" s="11"/>
      <c r="H166" s="11"/>
      <c r="I166" s="11"/>
      <c r="J166" s="11"/>
      <c r="K166" s="11"/>
      <c r="L166" s="11"/>
      <c r="M166" s="11"/>
    </row>
    <row r="167" spans="1:13" ht="14.25" customHeight="1" x14ac:dyDescent="0.2">
      <c r="A167" s="11"/>
      <c r="B167" s="11"/>
      <c r="C167" s="11"/>
      <c r="D167" s="6"/>
      <c r="E167" s="11"/>
      <c r="F167" s="11"/>
      <c r="G167" s="11"/>
      <c r="H167" s="11"/>
      <c r="I167" s="11"/>
      <c r="J167" s="11"/>
      <c r="K167" s="11"/>
      <c r="L167" s="11"/>
      <c r="M167" s="11"/>
    </row>
    <row r="168" spans="1:13" ht="14.25" customHeight="1" x14ac:dyDescent="0.2">
      <c r="A168" s="11"/>
      <c r="B168" s="11"/>
      <c r="C168" s="11"/>
      <c r="D168" s="6"/>
      <c r="E168" s="11"/>
      <c r="F168" s="11"/>
      <c r="G168" s="11"/>
      <c r="H168" s="11"/>
      <c r="I168" s="11"/>
      <c r="J168" s="11"/>
      <c r="K168" s="11"/>
      <c r="L168" s="11"/>
      <c r="M168" s="11"/>
    </row>
    <row r="169" spans="1:13" ht="14.25" customHeight="1" x14ac:dyDescent="0.2">
      <c r="A169" s="11"/>
      <c r="B169" s="11"/>
      <c r="C169" s="11"/>
      <c r="D169" s="6"/>
      <c r="E169" s="11"/>
      <c r="F169" s="11"/>
      <c r="G169" s="11"/>
      <c r="H169" s="11"/>
      <c r="I169" s="11"/>
      <c r="J169" s="11"/>
      <c r="K169" s="11"/>
      <c r="L169" s="11"/>
      <c r="M169" s="11"/>
    </row>
    <row r="170" spans="1:13" ht="14.25" customHeight="1" x14ac:dyDescent="0.2">
      <c r="A170" s="11"/>
      <c r="B170" s="11"/>
      <c r="C170" s="11"/>
      <c r="D170" s="6"/>
      <c r="E170" s="11"/>
      <c r="F170" s="11"/>
      <c r="G170" s="11"/>
      <c r="H170" s="11"/>
      <c r="I170" s="11"/>
      <c r="J170" s="11"/>
      <c r="K170" s="11"/>
      <c r="L170" s="11"/>
      <c r="M170" s="11"/>
    </row>
    <row r="171" spans="1:13" ht="14.25" customHeight="1" x14ac:dyDescent="0.2">
      <c r="A171" s="11"/>
      <c r="B171" s="11"/>
      <c r="C171" s="11"/>
      <c r="D171" s="6"/>
      <c r="E171" s="11"/>
      <c r="F171" s="11"/>
      <c r="G171" s="11"/>
      <c r="H171" s="11"/>
      <c r="I171" s="11"/>
      <c r="J171" s="11"/>
      <c r="K171" s="11"/>
      <c r="L171" s="11"/>
      <c r="M171" s="11"/>
    </row>
    <row r="172" spans="1:13" ht="14.25" customHeight="1" x14ac:dyDescent="0.2">
      <c r="A172" s="11"/>
      <c r="B172" s="11"/>
      <c r="C172" s="11"/>
      <c r="D172" s="6"/>
      <c r="E172" s="11"/>
      <c r="F172" s="11"/>
      <c r="G172" s="11"/>
      <c r="H172" s="11"/>
      <c r="I172" s="11"/>
      <c r="J172" s="11"/>
      <c r="K172" s="11"/>
      <c r="L172" s="11"/>
      <c r="M172" s="11"/>
    </row>
    <row r="173" spans="1:13" ht="14.25" customHeight="1" x14ac:dyDescent="0.2">
      <c r="A173" s="11"/>
      <c r="B173" s="11"/>
      <c r="C173" s="11"/>
      <c r="D173" s="6"/>
      <c r="E173" s="11"/>
      <c r="F173" s="11"/>
      <c r="G173" s="11"/>
      <c r="H173" s="11"/>
      <c r="I173" s="11"/>
      <c r="J173" s="11"/>
      <c r="K173" s="11"/>
      <c r="L173" s="11"/>
      <c r="M173" s="11"/>
    </row>
    <row r="174" spans="1:13" ht="14.25" customHeight="1" x14ac:dyDescent="0.2">
      <c r="A174" s="11"/>
      <c r="B174" s="11"/>
      <c r="C174" s="11"/>
      <c r="D174" s="6"/>
      <c r="E174" s="11"/>
      <c r="F174" s="11"/>
      <c r="G174" s="11"/>
      <c r="H174" s="11"/>
      <c r="I174" s="11"/>
      <c r="J174" s="11"/>
      <c r="K174" s="11"/>
      <c r="L174" s="11"/>
      <c r="M174" s="11"/>
    </row>
    <row r="175" spans="1:13" ht="14.25" customHeight="1" x14ac:dyDescent="0.2">
      <c r="A175" s="11"/>
      <c r="B175" s="11"/>
      <c r="C175" s="11"/>
      <c r="D175" s="6"/>
      <c r="E175" s="11"/>
      <c r="F175" s="11"/>
      <c r="G175" s="11"/>
      <c r="H175" s="11"/>
      <c r="I175" s="11"/>
      <c r="J175" s="11"/>
      <c r="K175" s="11"/>
      <c r="L175" s="11"/>
      <c r="M175" s="11"/>
    </row>
    <row r="176" spans="1:13" ht="14.25" customHeight="1" x14ac:dyDescent="0.2">
      <c r="A176" s="11"/>
      <c r="B176" s="11"/>
      <c r="C176" s="11"/>
      <c r="D176" s="6"/>
      <c r="E176" s="11"/>
      <c r="F176" s="11"/>
      <c r="G176" s="11"/>
      <c r="H176" s="11"/>
      <c r="I176" s="11"/>
      <c r="J176" s="11"/>
      <c r="K176" s="11"/>
      <c r="L176" s="11"/>
      <c r="M176" s="11"/>
    </row>
    <row r="177" spans="1:13" ht="14.25" customHeight="1" x14ac:dyDescent="0.2">
      <c r="A177" s="11"/>
      <c r="B177" s="11"/>
      <c r="C177" s="11"/>
      <c r="D177" s="6"/>
      <c r="E177" s="11"/>
      <c r="F177" s="11"/>
      <c r="G177" s="11"/>
      <c r="H177" s="11"/>
      <c r="I177" s="11"/>
      <c r="J177" s="11"/>
      <c r="K177" s="11"/>
      <c r="L177" s="11"/>
      <c r="M177" s="11"/>
    </row>
    <row r="178" spans="1:13" ht="14.25" customHeight="1" x14ac:dyDescent="0.2">
      <c r="A178" s="11"/>
      <c r="B178" s="11"/>
      <c r="C178" s="11"/>
      <c r="D178" s="6"/>
      <c r="E178" s="11"/>
      <c r="F178" s="11"/>
      <c r="G178" s="11"/>
      <c r="H178" s="11"/>
      <c r="I178" s="11"/>
      <c r="J178" s="11"/>
      <c r="K178" s="11"/>
      <c r="L178" s="11"/>
      <c r="M178" s="11"/>
    </row>
    <row r="179" spans="1:13" ht="14.25" customHeight="1" x14ac:dyDescent="0.2">
      <c r="A179" s="11"/>
      <c r="B179" s="11"/>
      <c r="C179" s="11"/>
      <c r="D179" s="6"/>
      <c r="E179" s="11"/>
      <c r="F179" s="11"/>
      <c r="G179" s="11"/>
      <c r="H179" s="11"/>
      <c r="I179" s="11"/>
      <c r="J179" s="11"/>
      <c r="K179" s="11"/>
      <c r="L179" s="11"/>
      <c r="M179" s="11"/>
    </row>
    <row r="180" spans="1:13" ht="14.25" customHeight="1" x14ac:dyDescent="0.2">
      <c r="A180" s="11"/>
      <c r="B180" s="11"/>
      <c r="C180" s="11"/>
      <c r="D180" s="6"/>
      <c r="E180" s="11"/>
      <c r="F180" s="11"/>
      <c r="G180" s="11"/>
      <c r="H180" s="11"/>
      <c r="I180" s="11"/>
      <c r="J180" s="11"/>
      <c r="K180" s="11"/>
      <c r="L180" s="11"/>
      <c r="M180" s="11"/>
    </row>
    <row r="181" spans="1:13" ht="14.25" customHeight="1" x14ac:dyDescent="0.2">
      <c r="A181" s="11"/>
      <c r="B181" s="11"/>
      <c r="C181" s="11"/>
      <c r="D181" s="6"/>
      <c r="E181" s="11"/>
      <c r="F181" s="11"/>
      <c r="G181" s="11"/>
      <c r="H181" s="11"/>
      <c r="I181" s="11"/>
      <c r="J181" s="11"/>
      <c r="K181" s="11"/>
      <c r="L181" s="11"/>
      <c r="M181" s="11"/>
    </row>
    <row r="182" spans="1:13" ht="14.25" customHeight="1" x14ac:dyDescent="0.2">
      <c r="A182" s="11"/>
      <c r="B182" s="11"/>
      <c r="C182" s="11"/>
      <c r="D182" s="6"/>
      <c r="E182" s="11"/>
      <c r="F182" s="11"/>
      <c r="G182" s="11"/>
      <c r="H182" s="11"/>
      <c r="I182" s="11"/>
      <c r="J182" s="11"/>
      <c r="K182" s="11"/>
      <c r="L182" s="11"/>
      <c r="M182" s="11"/>
    </row>
    <row r="183" spans="1:13" ht="14.25" customHeight="1" x14ac:dyDescent="0.2">
      <c r="A183" s="11"/>
      <c r="B183" s="11"/>
      <c r="C183" s="11"/>
      <c r="D183" s="6"/>
      <c r="E183" s="11"/>
      <c r="F183" s="11"/>
      <c r="G183" s="11"/>
      <c r="H183" s="11"/>
      <c r="I183" s="11"/>
      <c r="J183" s="11"/>
      <c r="K183" s="11"/>
      <c r="L183" s="11"/>
      <c r="M183" s="11"/>
    </row>
    <row r="184" spans="1:13" ht="14.25" customHeight="1" x14ac:dyDescent="0.2">
      <c r="A184" s="11"/>
      <c r="B184" s="11"/>
      <c r="C184" s="11"/>
      <c r="D184" s="6"/>
      <c r="E184" s="11"/>
      <c r="F184" s="11"/>
      <c r="G184" s="11"/>
      <c r="H184" s="11"/>
      <c r="I184" s="11"/>
      <c r="J184" s="11"/>
      <c r="K184" s="11"/>
      <c r="L184" s="11"/>
      <c r="M184" s="11"/>
    </row>
    <row r="185" spans="1:13" ht="14.25" customHeight="1" x14ac:dyDescent="0.2">
      <c r="A185" s="11"/>
      <c r="B185" s="11"/>
      <c r="C185" s="11"/>
      <c r="D185" s="6"/>
      <c r="E185" s="11"/>
      <c r="F185" s="11"/>
      <c r="G185" s="11"/>
      <c r="H185" s="11"/>
      <c r="I185" s="11"/>
      <c r="J185" s="11"/>
      <c r="K185" s="11"/>
      <c r="L185" s="11"/>
      <c r="M185" s="11"/>
    </row>
    <row r="186" spans="1:13" ht="14.25" customHeight="1" x14ac:dyDescent="0.2">
      <c r="A186" s="11"/>
      <c r="B186" s="11"/>
      <c r="C186" s="11"/>
      <c r="D186" s="6"/>
      <c r="E186" s="11"/>
      <c r="F186" s="11"/>
      <c r="G186" s="11"/>
      <c r="H186" s="11"/>
      <c r="I186" s="11"/>
      <c r="J186" s="11"/>
      <c r="K186" s="11"/>
      <c r="L186" s="11"/>
      <c r="M186" s="11"/>
    </row>
    <row r="187" spans="1:13" ht="14.25" customHeight="1" x14ac:dyDescent="0.2">
      <c r="A187" s="11"/>
      <c r="B187" s="11"/>
      <c r="C187" s="11"/>
      <c r="D187" s="6"/>
      <c r="E187" s="11"/>
      <c r="F187" s="11"/>
      <c r="G187" s="11"/>
      <c r="H187" s="11"/>
      <c r="I187" s="11"/>
      <c r="J187" s="11"/>
      <c r="K187" s="11"/>
      <c r="L187" s="11"/>
      <c r="M187" s="11"/>
    </row>
    <row r="188" spans="1:13" ht="14.25" customHeight="1" x14ac:dyDescent="0.2">
      <c r="A188" s="11"/>
      <c r="B188" s="11"/>
      <c r="C188" s="11"/>
      <c r="D188" s="6"/>
      <c r="E188" s="11"/>
      <c r="F188" s="11"/>
      <c r="G188" s="11"/>
      <c r="H188" s="11"/>
      <c r="I188" s="11"/>
      <c r="J188" s="11"/>
      <c r="K188" s="11"/>
      <c r="L188" s="11"/>
      <c r="M188" s="11"/>
    </row>
    <row r="189" spans="1:13" ht="14.25" customHeight="1" x14ac:dyDescent="0.2">
      <c r="A189" s="11"/>
      <c r="B189" s="11"/>
      <c r="C189" s="11"/>
      <c r="D189" s="6"/>
      <c r="E189" s="11"/>
      <c r="F189" s="11"/>
      <c r="G189" s="11"/>
      <c r="H189" s="11"/>
      <c r="I189" s="11"/>
      <c r="J189" s="11"/>
      <c r="K189" s="11"/>
      <c r="L189" s="11"/>
      <c r="M189" s="11"/>
    </row>
    <row r="190" spans="1:13" ht="14.25" customHeight="1" x14ac:dyDescent="0.2">
      <c r="A190" s="11"/>
      <c r="B190" s="11"/>
      <c r="C190" s="11"/>
      <c r="D190" s="6"/>
      <c r="E190" s="11"/>
      <c r="F190" s="11"/>
      <c r="G190" s="11"/>
      <c r="H190" s="11"/>
      <c r="I190" s="11"/>
      <c r="J190" s="11"/>
      <c r="K190" s="11"/>
      <c r="L190" s="11"/>
      <c r="M190" s="11"/>
    </row>
    <row r="191" spans="1:13" ht="14.25" customHeight="1" x14ac:dyDescent="0.2">
      <c r="A191" s="11"/>
      <c r="B191" s="11"/>
      <c r="C191" s="11"/>
      <c r="D191" s="6"/>
      <c r="E191" s="11"/>
      <c r="F191" s="11"/>
      <c r="G191" s="11"/>
      <c r="H191" s="11"/>
      <c r="I191" s="11"/>
      <c r="J191" s="11"/>
      <c r="K191" s="11"/>
      <c r="L191" s="11"/>
      <c r="M191" s="11"/>
    </row>
    <row r="192" spans="1:13" ht="14.25" customHeight="1" x14ac:dyDescent="0.2">
      <c r="A192" s="11"/>
      <c r="B192" s="11"/>
      <c r="C192" s="11"/>
      <c r="D192" s="6"/>
      <c r="E192" s="11"/>
      <c r="F192" s="11"/>
      <c r="G192" s="11"/>
      <c r="H192" s="11"/>
      <c r="I192" s="11"/>
      <c r="J192" s="11"/>
      <c r="K192" s="11"/>
      <c r="L192" s="11"/>
      <c r="M192" s="11"/>
    </row>
    <row r="193" spans="1:13" ht="14.25" customHeight="1" x14ac:dyDescent="0.2">
      <c r="A193" s="11"/>
      <c r="B193" s="11"/>
      <c r="C193" s="11"/>
      <c r="D193" s="6"/>
      <c r="E193" s="11"/>
      <c r="F193" s="11"/>
      <c r="G193" s="11"/>
      <c r="H193" s="11"/>
      <c r="I193" s="11"/>
      <c r="J193" s="11"/>
      <c r="K193" s="11"/>
      <c r="L193" s="11"/>
      <c r="M193" s="11"/>
    </row>
    <row r="194" spans="1:13" ht="14.25" customHeight="1" x14ac:dyDescent="0.2">
      <c r="A194" s="11"/>
      <c r="B194" s="11"/>
      <c r="C194" s="11"/>
      <c r="D194" s="6"/>
      <c r="E194" s="11"/>
      <c r="F194" s="11"/>
      <c r="G194" s="11"/>
      <c r="H194" s="11"/>
      <c r="I194" s="11"/>
      <c r="J194" s="11"/>
      <c r="K194" s="11"/>
      <c r="L194" s="11"/>
      <c r="M194" s="11"/>
    </row>
    <row r="195" spans="1:13" ht="14.25" customHeight="1" x14ac:dyDescent="0.2">
      <c r="A195" s="11"/>
      <c r="B195" s="11"/>
      <c r="C195" s="11"/>
      <c r="D195" s="6"/>
      <c r="E195" s="11"/>
      <c r="F195" s="11"/>
      <c r="G195" s="11"/>
      <c r="H195" s="11"/>
      <c r="I195" s="11"/>
      <c r="J195" s="11"/>
      <c r="K195" s="11"/>
      <c r="L195" s="11"/>
      <c r="M195" s="11"/>
    </row>
    <row r="196" spans="1:13" ht="14.25" customHeight="1" x14ac:dyDescent="0.2">
      <c r="A196" s="11"/>
      <c r="B196" s="11"/>
      <c r="C196" s="11"/>
      <c r="D196" s="6"/>
      <c r="E196" s="11"/>
      <c r="F196" s="11"/>
      <c r="G196" s="11"/>
      <c r="H196" s="11"/>
      <c r="I196" s="11"/>
      <c r="J196" s="11"/>
      <c r="K196" s="11"/>
      <c r="L196" s="11"/>
      <c r="M196" s="11"/>
    </row>
    <row r="197" spans="1:13" ht="14.25" customHeight="1" x14ac:dyDescent="0.2">
      <c r="A197" s="11"/>
      <c r="B197" s="11"/>
      <c r="C197" s="11"/>
      <c r="D197" s="6"/>
      <c r="E197" s="11"/>
      <c r="F197" s="11"/>
      <c r="G197" s="11"/>
      <c r="H197" s="11"/>
      <c r="I197" s="11"/>
      <c r="J197" s="11"/>
      <c r="K197" s="11"/>
      <c r="L197" s="11"/>
      <c r="M197" s="11"/>
    </row>
    <row r="198" spans="1:13" ht="14.25" customHeight="1" x14ac:dyDescent="0.2">
      <c r="A198" s="11"/>
      <c r="B198" s="11"/>
      <c r="C198" s="11"/>
      <c r="D198" s="6"/>
      <c r="E198" s="11"/>
      <c r="F198" s="11"/>
      <c r="G198" s="11"/>
      <c r="H198" s="11"/>
      <c r="I198" s="11"/>
      <c r="J198" s="11"/>
      <c r="K198" s="11"/>
      <c r="L198" s="11"/>
      <c r="M198" s="11"/>
    </row>
    <row r="199" spans="1:13" ht="14.25" customHeight="1" x14ac:dyDescent="0.2">
      <c r="A199" s="11"/>
      <c r="B199" s="11"/>
      <c r="C199" s="11"/>
      <c r="D199" s="6"/>
      <c r="E199" s="11"/>
      <c r="F199" s="11"/>
      <c r="G199" s="11"/>
      <c r="H199" s="11"/>
      <c r="I199" s="11"/>
      <c r="J199" s="11"/>
      <c r="K199" s="11"/>
      <c r="L199" s="11"/>
      <c r="M199" s="11"/>
    </row>
    <row r="200" spans="1:13" ht="14.25" customHeight="1" x14ac:dyDescent="0.2">
      <c r="A200" s="11"/>
      <c r="B200" s="11"/>
      <c r="C200" s="11"/>
      <c r="D200" s="6"/>
      <c r="E200" s="11"/>
      <c r="F200" s="11"/>
      <c r="G200" s="11"/>
      <c r="H200" s="11"/>
      <c r="I200" s="11"/>
      <c r="J200" s="11"/>
      <c r="K200" s="11"/>
      <c r="L200" s="11"/>
      <c r="M200" s="11"/>
    </row>
    <row r="201" spans="1:13" ht="14.25" customHeight="1" x14ac:dyDescent="0.2">
      <c r="A201" s="11"/>
      <c r="B201" s="11"/>
      <c r="C201" s="11"/>
      <c r="D201" s="6"/>
      <c r="E201" s="11"/>
      <c r="F201" s="11"/>
      <c r="G201" s="11"/>
      <c r="H201" s="11"/>
      <c r="I201" s="11"/>
      <c r="J201" s="11"/>
      <c r="K201" s="11"/>
      <c r="L201" s="11"/>
      <c r="M201" s="11"/>
    </row>
    <row r="202" spans="1:13" ht="14.25" customHeight="1" x14ac:dyDescent="0.2">
      <c r="A202" s="11"/>
      <c r="B202" s="11"/>
      <c r="C202" s="11"/>
      <c r="D202" s="6"/>
      <c r="E202" s="11"/>
      <c r="F202" s="11"/>
      <c r="G202" s="11"/>
      <c r="H202" s="11"/>
      <c r="I202" s="11"/>
      <c r="J202" s="11"/>
      <c r="K202" s="11"/>
      <c r="L202" s="11"/>
      <c r="M202" s="11"/>
    </row>
    <row r="203" spans="1:13" ht="14.25" customHeight="1" x14ac:dyDescent="0.2">
      <c r="A203" s="11"/>
      <c r="B203" s="11"/>
      <c r="C203" s="11"/>
      <c r="D203" s="6"/>
      <c r="E203" s="11"/>
      <c r="F203" s="11"/>
      <c r="G203" s="11"/>
      <c r="H203" s="11"/>
      <c r="I203" s="11"/>
      <c r="J203" s="11"/>
      <c r="K203" s="11"/>
      <c r="L203" s="11"/>
      <c r="M203" s="11"/>
    </row>
    <row r="204" spans="1:13" ht="14.25" customHeight="1" x14ac:dyDescent="0.2">
      <c r="A204" s="11"/>
      <c r="B204" s="11"/>
      <c r="C204" s="11"/>
      <c r="D204" s="6"/>
      <c r="E204" s="11"/>
      <c r="F204" s="11"/>
      <c r="G204" s="11"/>
      <c r="H204" s="11"/>
      <c r="I204" s="11"/>
      <c r="J204" s="11"/>
      <c r="K204" s="11"/>
      <c r="L204" s="11"/>
      <c r="M204" s="11"/>
    </row>
    <row r="205" spans="1:13" ht="14.25" customHeight="1" x14ac:dyDescent="0.2">
      <c r="A205" s="11"/>
      <c r="B205" s="11"/>
      <c r="C205" s="11"/>
      <c r="D205" s="6"/>
      <c r="E205" s="11"/>
      <c r="F205" s="11"/>
      <c r="G205" s="11"/>
      <c r="H205" s="11"/>
      <c r="I205" s="11"/>
      <c r="J205" s="11"/>
      <c r="K205" s="11"/>
      <c r="L205" s="11"/>
      <c r="M205" s="11"/>
    </row>
    <row r="206" spans="1:13" ht="14.25" customHeight="1" x14ac:dyDescent="0.2">
      <c r="A206" s="11"/>
      <c r="B206" s="11"/>
      <c r="C206" s="11"/>
      <c r="D206" s="6"/>
      <c r="E206" s="11"/>
      <c r="F206" s="11"/>
      <c r="G206" s="11"/>
      <c r="H206" s="11"/>
      <c r="I206" s="11"/>
      <c r="J206" s="11"/>
      <c r="K206" s="11"/>
      <c r="L206" s="11"/>
      <c r="M206" s="11"/>
    </row>
    <row r="207" spans="1:13" ht="14.25" customHeight="1" x14ac:dyDescent="0.2">
      <c r="A207" s="11"/>
      <c r="B207" s="11"/>
      <c r="C207" s="11"/>
      <c r="D207" s="6"/>
      <c r="E207" s="11"/>
      <c r="F207" s="11"/>
      <c r="G207" s="11"/>
      <c r="H207" s="11"/>
      <c r="I207" s="11"/>
      <c r="J207" s="11"/>
      <c r="K207" s="11"/>
      <c r="L207" s="11"/>
      <c r="M207" s="11"/>
    </row>
    <row r="208" spans="1:13" ht="14.25" customHeight="1" x14ac:dyDescent="0.2">
      <c r="A208" s="11"/>
      <c r="B208" s="11"/>
      <c r="C208" s="11"/>
      <c r="D208" s="6"/>
      <c r="E208" s="11"/>
      <c r="F208" s="11"/>
      <c r="G208" s="11"/>
      <c r="H208" s="11"/>
      <c r="I208" s="11"/>
      <c r="J208" s="11"/>
      <c r="K208" s="11"/>
      <c r="L208" s="11"/>
      <c r="M208" s="11"/>
    </row>
    <row r="209" spans="1:13" ht="14.25" customHeight="1" x14ac:dyDescent="0.2">
      <c r="A209" s="11"/>
      <c r="B209" s="11"/>
      <c r="C209" s="11"/>
      <c r="D209" s="6"/>
      <c r="E209" s="11"/>
      <c r="F209" s="11"/>
      <c r="G209" s="11"/>
      <c r="H209" s="11"/>
      <c r="I209" s="11"/>
      <c r="J209" s="11"/>
      <c r="K209" s="11"/>
      <c r="L209" s="11"/>
      <c r="M209" s="11"/>
    </row>
    <row r="210" spans="1:13" ht="14.25" customHeight="1" x14ac:dyDescent="0.2">
      <c r="A210" s="11"/>
      <c r="B210" s="11"/>
      <c r="C210" s="11"/>
      <c r="D210" s="6"/>
      <c r="E210" s="11"/>
      <c r="F210" s="11"/>
      <c r="G210" s="11"/>
      <c r="H210" s="11"/>
      <c r="I210" s="11"/>
      <c r="J210" s="11"/>
      <c r="K210" s="11"/>
      <c r="L210" s="11"/>
      <c r="M210" s="11"/>
    </row>
    <row r="211" spans="1:13" ht="14.25" customHeight="1" x14ac:dyDescent="0.2">
      <c r="A211" s="11"/>
      <c r="B211" s="11"/>
      <c r="C211" s="11"/>
      <c r="D211" s="6"/>
      <c r="E211" s="11"/>
      <c r="F211" s="11"/>
      <c r="G211" s="11"/>
      <c r="H211" s="11"/>
      <c r="I211" s="11"/>
      <c r="J211" s="11"/>
      <c r="K211" s="11"/>
      <c r="L211" s="11"/>
      <c r="M211" s="11"/>
    </row>
    <row r="212" spans="1:13" ht="14.25" customHeight="1" x14ac:dyDescent="0.2">
      <c r="A212" s="11"/>
      <c r="B212" s="11"/>
      <c r="C212" s="11"/>
      <c r="D212" s="6"/>
      <c r="E212" s="11"/>
      <c r="F212" s="11"/>
      <c r="G212" s="11"/>
      <c r="H212" s="11"/>
      <c r="I212" s="11"/>
      <c r="J212" s="11"/>
      <c r="K212" s="11"/>
      <c r="L212" s="11"/>
      <c r="M212" s="11"/>
    </row>
    <row r="213" spans="1:13" ht="14.25" customHeight="1" x14ac:dyDescent="0.2">
      <c r="A213" s="11"/>
      <c r="B213" s="11"/>
      <c r="C213" s="11"/>
      <c r="D213" s="6"/>
      <c r="E213" s="11"/>
      <c r="F213" s="11"/>
      <c r="G213" s="11"/>
      <c r="H213" s="11"/>
      <c r="I213" s="11"/>
      <c r="J213" s="11"/>
      <c r="K213" s="11"/>
      <c r="L213" s="11"/>
      <c r="M213" s="11"/>
    </row>
    <row r="214" spans="1:13" ht="14.25" customHeight="1" x14ac:dyDescent="0.2">
      <c r="A214" s="11"/>
      <c r="B214" s="11"/>
      <c r="C214" s="11"/>
      <c r="D214" s="6"/>
      <c r="E214" s="11"/>
      <c r="F214" s="11"/>
      <c r="G214" s="11"/>
      <c r="H214" s="11"/>
      <c r="I214" s="11"/>
      <c r="J214" s="11"/>
      <c r="K214" s="11"/>
      <c r="L214" s="11"/>
      <c r="M214" s="11"/>
    </row>
    <row r="215" spans="1:13" ht="14.25" customHeight="1" x14ac:dyDescent="0.2">
      <c r="A215" s="11"/>
      <c r="B215" s="11"/>
      <c r="C215" s="11"/>
      <c r="D215" s="6"/>
      <c r="E215" s="11"/>
      <c r="F215" s="11"/>
      <c r="G215" s="11"/>
      <c r="H215" s="11"/>
      <c r="I215" s="11"/>
      <c r="J215" s="11"/>
      <c r="K215" s="11"/>
      <c r="L215" s="11"/>
      <c r="M215" s="11"/>
    </row>
    <row r="216" spans="1:13" ht="14.25" customHeight="1" x14ac:dyDescent="0.2">
      <c r="A216" s="11"/>
      <c r="B216" s="11"/>
      <c r="C216" s="11"/>
      <c r="D216" s="6"/>
      <c r="E216" s="11"/>
      <c r="F216" s="11"/>
      <c r="G216" s="11"/>
      <c r="H216" s="11"/>
      <c r="I216" s="11"/>
      <c r="J216" s="11"/>
      <c r="K216" s="11"/>
      <c r="L216" s="11"/>
      <c r="M216" s="11"/>
    </row>
    <row r="217" spans="1:13" ht="14.25" customHeight="1" x14ac:dyDescent="0.2">
      <c r="A217" s="11"/>
      <c r="B217" s="11"/>
      <c r="C217" s="11"/>
      <c r="D217" s="6"/>
      <c r="E217" s="11"/>
      <c r="F217" s="11"/>
      <c r="G217" s="11"/>
      <c r="H217" s="11"/>
      <c r="I217" s="11"/>
      <c r="J217" s="11"/>
      <c r="K217" s="11"/>
      <c r="L217" s="11"/>
      <c r="M217" s="11"/>
    </row>
    <row r="218" spans="1:13" ht="14.25" customHeight="1" x14ac:dyDescent="0.2">
      <c r="A218" s="11"/>
      <c r="B218" s="11"/>
      <c r="C218" s="11"/>
      <c r="D218" s="6"/>
      <c r="E218" s="11"/>
      <c r="F218" s="11"/>
      <c r="G218" s="11"/>
      <c r="H218" s="11"/>
      <c r="I218" s="11"/>
      <c r="J218" s="11"/>
      <c r="K218" s="11"/>
      <c r="L218" s="11"/>
      <c r="M218" s="11"/>
    </row>
    <row r="219" spans="1:13" ht="14.25" customHeight="1" x14ac:dyDescent="0.2">
      <c r="A219" s="11"/>
      <c r="B219" s="11"/>
      <c r="C219" s="11"/>
      <c r="D219" s="6"/>
      <c r="E219" s="11"/>
      <c r="F219" s="11"/>
      <c r="G219" s="11"/>
      <c r="H219" s="11"/>
      <c r="I219" s="11"/>
      <c r="J219" s="11"/>
      <c r="K219" s="11"/>
      <c r="L219" s="11"/>
      <c r="M219" s="11"/>
    </row>
    <row r="220" spans="1:13" ht="14.25" customHeight="1" x14ac:dyDescent="0.2">
      <c r="A220" s="11"/>
      <c r="B220" s="11"/>
      <c r="C220" s="11"/>
      <c r="D220" s="6"/>
      <c r="E220" s="11"/>
      <c r="F220" s="11"/>
      <c r="G220" s="11"/>
      <c r="H220" s="11"/>
      <c r="I220" s="11"/>
      <c r="J220" s="11"/>
      <c r="K220" s="11"/>
      <c r="L220" s="11"/>
      <c r="M220" s="11"/>
    </row>
    <row r="221" spans="1:13" ht="14.25" customHeight="1" x14ac:dyDescent="0.2">
      <c r="A221" s="11"/>
      <c r="B221" s="11"/>
      <c r="C221" s="11"/>
      <c r="D221" s="6"/>
      <c r="E221" s="11"/>
      <c r="F221" s="11"/>
      <c r="G221" s="11"/>
      <c r="H221" s="11"/>
      <c r="I221" s="11"/>
      <c r="J221" s="11"/>
      <c r="K221" s="11"/>
      <c r="L221" s="11"/>
      <c r="M221" s="11"/>
    </row>
    <row r="222" spans="1:13" ht="14.25" customHeight="1" x14ac:dyDescent="0.2">
      <c r="A222" s="11"/>
      <c r="B222" s="11"/>
      <c r="C222" s="11"/>
      <c r="D222" s="6"/>
      <c r="E222" s="11"/>
      <c r="F222" s="11"/>
      <c r="G222" s="11"/>
      <c r="H222" s="11"/>
      <c r="I222" s="11"/>
      <c r="J222" s="11"/>
      <c r="K222" s="11"/>
      <c r="L222" s="11"/>
      <c r="M222" s="11"/>
    </row>
    <row r="223" spans="1:13" ht="14.25" customHeight="1" x14ac:dyDescent="0.2">
      <c r="A223" s="11"/>
      <c r="B223" s="11"/>
      <c r="C223" s="11"/>
      <c r="D223" s="6"/>
      <c r="E223" s="11"/>
      <c r="F223" s="11"/>
      <c r="G223" s="11"/>
      <c r="H223" s="11"/>
      <c r="I223" s="11"/>
      <c r="J223" s="11"/>
      <c r="K223" s="11"/>
      <c r="L223" s="11"/>
      <c r="M223" s="11"/>
    </row>
    <row r="224" spans="1:13" ht="14.25" customHeight="1" x14ac:dyDescent="0.2">
      <c r="A224" s="11"/>
      <c r="B224" s="11"/>
      <c r="C224" s="11"/>
      <c r="D224" s="6"/>
      <c r="E224" s="11"/>
      <c r="F224" s="11"/>
      <c r="G224" s="11"/>
      <c r="H224" s="11"/>
      <c r="I224" s="11"/>
      <c r="J224" s="11"/>
      <c r="K224" s="11"/>
      <c r="L224" s="11"/>
      <c r="M224" s="11"/>
    </row>
    <row r="225" spans="1:13" ht="14.25" customHeight="1" x14ac:dyDescent="0.2">
      <c r="A225" s="11"/>
      <c r="B225" s="11"/>
      <c r="C225" s="11"/>
      <c r="D225" s="6"/>
      <c r="E225" s="11"/>
      <c r="F225" s="11"/>
      <c r="G225" s="11"/>
      <c r="H225" s="11"/>
      <c r="I225" s="11"/>
      <c r="J225" s="11"/>
      <c r="K225" s="11"/>
      <c r="L225" s="11"/>
      <c r="M225" s="11"/>
    </row>
    <row r="226" spans="1:13" ht="14.25" customHeight="1" x14ac:dyDescent="0.2">
      <c r="A226" s="11"/>
      <c r="B226" s="11"/>
      <c r="C226" s="11"/>
      <c r="D226" s="6"/>
      <c r="E226" s="11"/>
      <c r="F226" s="11"/>
      <c r="G226" s="11"/>
      <c r="H226" s="11"/>
      <c r="I226" s="11"/>
      <c r="J226" s="11"/>
      <c r="K226" s="11"/>
      <c r="L226" s="11"/>
      <c r="M226" s="11"/>
    </row>
    <row r="227" spans="1:13" ht="14.25" customHeight="1" x14ac:dyDescent="0.2">
      <c r="A227" s="11"/>
      <c r="B227" s="11"/>
      <c r="C227" s="11"/>
      <c r="D227" s="6"/>
      <c r="E227" s="11"/>
      <c r="F227" s="11"/>
      <c r="G227" s="11"/>
      <c r="H227" s="11"/>
      <c r="I227" s="11"/>
      <c r="J227" s="11"/>
      <c r="K227" s="11"/>
      <c r="L227" s="11"/>
      <c r="M227" s="11"/>
    </row>
    <row r="228" spans="1:13" ht="14.25" customHeight="1" x14ac:dyDescent="0.2">
      <c r="A228" s="11"/>
      <c r="B228" s="11"/>
      <c r="C228" s="11"/>
      <c r="D228" s="6"/>
      <c r="E228" s="11"/>
      <c r="F228" s="11"/>
      <c r="G228" s="11"/>
      <c r="H228" s="11"/>
      <c r="I228" s="11"/>
      <c r="J228" s="11"/>
      <c r="K228" s="11"/>
      <c r="L228" s="11"/>
      <c r="M228" s="11"/>
    </row>
    <row r="229" spans="1:13" ht="14.25" customHeight="1" x14ac:dyDescent="0.2">
      <c r="A229" s="11"/>
      <c r="B229" s="11"/>
      <c r="C229" s="11"/>
      <c r="D229" s="6"/>
      <c r="E229" s="11"/>
      <c r="F229" s="11"/>
      <c r="G229" s="11"/>
      <c r="H229" s="11"/>
      <c r="I229" s="11"/>
      <c r="J229" s="11"/>
      <c r="K229" s="11"/>
      <c r="L229" s="11"/>
      <c r="M229" s="11"/>
    </row>
    <row r="230" spans="1:13" ht="14.25" customHeight="1" x14ac:dyDescent="0.2">
      <c r="A230" s="11"/>
      <c r="B230" s="11"/>
      <c r="C230" s="11"/>
      <c r="D230" s="6"/>
      <c r="E230" s="11"/>
      <c r="F230" s="11"/>
      <c r="G230" s="11"/>
      <c r="H230" s="11"/>
      <c r="I230" s="11"/>
      <c r="J230" s="11"/>
      <c r="K230" s="11"/>
      <c r="L230" s="11"/>
      <c r="M230" s="11"/>
    </row>
    <row r="231" spans="1:13" ht="14.25" customHeight="1" x14ac:dyDescent="0.2">
      <c r="A231" s="11"/>
      <c r="B231" s="11"/>
      <c r="C231" s="11"/>
      <c r="D231" s="6"/>
      <c r="E231" s="11"/>
      <c r="F231" s="11"/>
      <c r="G231" s="11"/>
      <c r="H231" s="11"/>
      <c r="I231" s="11"/>
      <c r="J231" s="11"/>
      <c r="K231" s="11"/>
      <c r="L231" s="11"/>
      <c r="M231" s="11"/>
    </row>
    <row r="232" spans="1:13" ht="14.25" customHeight="1" x14ac:dyDescent="0.2">
      <c r="A232" s="11"/>
      <c r="B232" s="11"/>
      <c r="C232" s="11"/>
      <c r="D232" s="6"/>
      <c r="E232" s="11"/>
      <c r="F232" s="11"/>
      <c r="G232" s="11"/>
      <c r="H232" s="11"/>
      <c r="I232" s="11"/>
      <c r="J232" s="11"/>
      <c r="K232" s="11"/>
      <c r="L232" s="11"/>
      <c r="M232" s="11"/>
    </row>
    <row r="233" spans="1:13" ht="14.25" customHeight="1" x14ac:dyDescent="0.2">
      <c r="A233" s="11"/>
      <c r="B233" s="11"/>
      <c r="C233" s="11"/>
      <c r="D233" s="6"/>
      <c r="E233" s="11"/>
      <c r="F233" s="11"/>
      <c r="G233" s="11"/>
      <c r="H233" s="11"/>
      <c r="I233" s="11"/>
      <c r="J233" s="11"/>
      <c r="K233" s="11"/>
      <c r="L233" s="11"/>
      <c r="M233" s="11"/>
    </row>
    <row r="234" spans="1:13" ht="14.25" customHeight="1" x14ac:dyDescent="0.2">
      <c r="A234" s="11"/>
      <c r="B234" s="11"/>
      <c r="C234" s="11"/>
      <c r="D234" s="6"/>
      <c r="E234" s="11"/>
      <c r="F234" s="11"/>
      <c r="G234" s="11"/>
      <c r="H234" s="11"/>
      <c r="I234" s="11"/>
      <c r="J234" s="11"/>
      <c r="K234" s="11"/>
      <c r="L234" s="11"/>
      <c r="M234" s="11"/>
    </row>
    <row r="235" spans="1:13" ht="14.25" customHeight="1" x14ac:dyDescent="0.2">
      <c r="A235" s="11"/>
      <c r="B235" s="11"/>
      <c r="C235" s="11"/>
      <c r="D235" s="6"/>
      <c r="E235" s="11"/>
      <c r="F235" s="11"/>
      <c r="G235" s="11"/>
      <c r="H235" s="11"/>
      <c r="I235" s="11"/>
      <c r="J235" s="11"/>
      <c r="K235" s="11"/>
      <c r="L235" s="11"/>
      <c r="M235" s="11"/>
    </row>
    <row r="236" spans="1:13" ht="14.25" customHeight="1" x14ac:dyDescent="0.2">
      <c r="A236" s="11"/>
      <c r="B236" s="11"/>
      <c r="C236" s="11"/>
      <c r="D236" s="6"/>
      <c r="E236" s="11"/>
      <c r="F236" s="11"/>
      <c r="G236" s="11"/>
      <c r="H236" s="11"/>
      <c r="I236" s="11"/>
      <c r="J236" s="11"/>
      <c r="K236" s="11"/>
      <c r="L236" s="11"/>
      <c r="M236" s="11"/>
    </row>
    <row r="237" spans="1:13" ht="14.25" customHeight="1" x14ac:dyDescent="0.2">
      <c r="A237" s="11"/>
      <c r="B237" s="11"/>
      <c r="C237" s="11"/>
      <c r="D237" s="6"/>
      <c r="E237" s="11"/>
      <c r="F237" s="11"/>
      <c r="G237" s="11"/>
      <c r="H237" s="11"/>
      <c r="I237" s="11"/>
      <c r="J237" s="11"/>
      <c r="K237" s="11"/>
      <c r="L237" s="11"/>
      <c r="M237" s="11"/>
    </row>
    <row r="238" spans="1:13" ht="14.25" customHeight="1" x14ac:dyDescent="0.2">
      <c r="A238" s="11"/>
      <c r="B238" s="11"/>
      <c r="C238" s="11"/>
      <c r="D238" s="6"/>
      <c r="E238" s="11"/>
      <c r="F238" s="11"/>
      <c r="G238" s="11"/>
      <c r="H238" s="11"/>
      <c r="I238" s="11"/>
      <c r="J238" s="11"/>
      <c r="K238" s="11"/>
      <c r="L238" s="11"/>
      <c r="M238" s="11"/>
    </row>
    <row r="239" spans="1:13" ht="14.25" customHeight="1" x14ac:dyDescent="0.2">
      <c r="A239" s="11"/>
      <c r="B239" s="11"/>
      <c r="C239" s="11"/>
      <c r="D239" s="6"/>
      <c r="E239" s="11"/>
      <c r="F239" s="11"/>
      <c r="G239" s="11"/>
      <c r="H239" s="11"/>
      <c r="I239" s="11"/>
      <c r="J239" s="11"/>
      <c r="K239" s="11"/>
      <c r="L239" s="11"/>
      <c r="M239" s="11"/>
    </row>
    <row r="240" spans="1:13" ht="14.25" customHeight="1" x14ac:dyDescent="0.2">
      <c r="A240" s="11"/>
      <c r="B240" s="11"/>
      <c r="C240" s="11"/>
      <c r="D240" s="6"/>
      <c r="E240" s="11"/>
      <c r="F240" s="11"/>
      <c r="G240" s="11"/>
      <c r="H240" s="11"/>
      <c r="I240" s="11"/>
      <c r="J240" s="11"/>
      <c r="K240" s="11"/>
      <c r="L240" s="11"/>
      <c r="M240" s="11"/>
    </row>
    <row r="241" spans="1:13" ht="14.25" customHeight="1" x14ac:dyDescent="0.2">
      <c r="A241" s="11"/>
      <c r="B241" s="11"/>
      <c r="C241" s="11"/>
      <c r="D241" s="6"/>
      <c r="E241" s="11"/>
      <c r="F241" s="11"/>
      <c r="G241" s="11"/>
      <c r="H241" s="11"/>
      <c r="I241" s="11"/>
      <c r="J241" s="11"/>
      <c r="K241" s="11"/>
      <c r="L241" s="11"/>
      <c r="M241" s="11"/>
    </row>
    <row r="242" spans="1:13" ht="14.25" customHeight="1" x14ac:dyDescent="0.2">
      <c r="A242" s="11"/>
      <c r="B242" s="11"/>
      <c r="C242" s="11"/>
      <c r="D242" s="6"/>
      <c r="E242" s="11"/>
      <c r="F242" s="11"/>
      <c r="G242" s="11"/>
      <c r="H242" s="11"/>
      <c r="I242" s="11"/>
      <c r="J242" s="11"/>
      <c r="K242" s="11"/>
      <c r="L242" s="11"/>
      <c r="M242" s="11"/>
    </row>
    <row r="243" spans="1:13" ht="14.25" customHeight="1" x14ac:dyDescent="0.2">
      <c r="A243" s="11"/>
      <c r="B243" s="11"/>
      <c r="C243" s="11"/>
      <c r="D243" s="6"/>
      <c r="E243" s="11"/>
      <c r="F243" s="11"/>
      <c r="G243" s="11"/>
      <c r="H243" s="11"/>
      <c r="I243" s="11"/>
      <c r="J243" s="11"/>
      <c r="K243" s="11"/>
      <c r="L243" s="11"/>
      <c r="M243" s="11"/>
    </row>
    <row r="244" spans="1:13" ht="14.25" customHeight="1" x14ac:dyDescent="0.2">
      <c r="A244" s="11"/>
      <c r="B244" s="11"/>
      <c r="C244" s="11"/>
      <c r="D244" s="6"/>
      <c r="E244" s="11"/>
      <c r="F244" s="11"/>
      <c r="G244" s="11"/>
      <c r="H244" s="11"/>
      <c r="I244" s="11"/>
      <c r="J244" s="11"/>
      <c r="K244" s="11"/>
      <c r="L244" s="11"/>
      <c r="M244" s="11"/>
    </row>
    <row r="245" spans="1:13" ht="14.25" customHeight="1" x14ac:dyDescent="0.2">
      <c r="A245" s="11"/>
      <c r="B245" s="11"/>
      <c r="C245" s="11"/>
      <c r="D245" s="6"/>
      <c r="E245" s="11"/>
      <c r="F245" s="11"/>
      <c r="G245" s="11"/>
      <c r="H245" s="11"/>
      <c r="I245" s="11"/>
      <c r="J245" s="11"/>
      <c r="K245" s="11"/>
      <c r="L245" s="11"/>
      <c r="M245" s="11"/>
    </row>
    <row r="246" spans="1:13" ht="14.25" customHeight="1" x14ac:dyDescent="0.2">
      <c r="A246" s="11"/>
      <c r="B246" s="11"/>
      <c r="C246" s="11"/>
      <c r="D246" s="6"/>
      <c r="E246" s="11"/>
      <c r="F246" s="11"/>
      <c r="G246" s="11"/>
      <c r="H246" s="11"/>
      <c r="I246" s="11"/>
      <c r="J246" s="11"/>
      <c r="K246" s="11"/>
      <c r="L246" s="11"/>
      <c r="M246" s="11"/>
    </row>
    <row r="247" spans="1:13" ht="14.25" customHeight="1" x14ac:dyDescent="0.2">
      <c r="A247" s="11"/>
      <c r="B247" s="11"/>
      <c r="C247" s="11"/>
      <c r="D247" s="6"/>
      <c r="E247" s="11"/>
      <c r="F247" s="11"/>
      <c r="G247" s="11"/>
      <c r="H247" s="11"/>
      <c r="I247" s="11"/>
      <c r="J247" s="11"/>
      <c r="K247" s="11"/>
      <c r="L247" s="11"/>
      <c r="M247" s="11"/>
    </row>
    <row r="248" spans="1:13" ht="14.25" customHeight="1" x14ac:dyDescent="0.2">
      <c r="A248" s="11"/>
      <c r="B248" s="11"/>
      <c r="C248" s="11"/>
      <c r="D248" s="6"/>
      <c r="E248" s="11"/>
      <c r="F248" s="11"/>
      <c r="G248" s="11"/>
      <c r="H248" s="11"/>
      <c r="I248" s="11"/>
      <c r="J248" s="11"/>
      <c r="K248" s="11"/>
      <c r="L248" s="11"/>
      <c r="M248" s="11"/>
    </row>
    <row r="249" spans="1:13" ht="14.25" customHeight="1" x14ac:dyDescent="0.2">
      <c r="A249" s="11"/>
      <c r="B249" s="11"/>
      <c r="C249" s="11"/>
      <c r="D249" s="6"/>
      <c r="E249" s="11"/>
      <c r="F249" s="11"/>
      <c r="G249" s="11"/>
      <c r="H249" s="11"/>
      <c r="I249" s="11"/>
      <c r="J249" s="11"/>
      <c r="K249" s="11"/>
      <c r="L249" s="11"/>
      <c r="M249" s="11"/>
    </row>
    <row r="250" spans="1:13" ht="14.25" customHeight="1" x14ac:dyDescent="0.2">
      <c r="A250" s="11"/>
      <c r="B250" s="11"/>
      <c r="C250" s="11"/>
      <c r="D250" s="6"/>
      <c r="E250" s="11"/>
      <c r="F250" s="11"/>
      <c r="G250" s="11"/>
      <c r="H250" s="11"/>
      <c r="I250" s="11"/>
      <c r="J250" s="11"/>
      <c r="K250" s="11"/>
      <c r="L250" s="11"/>
      <c r="M250" s="11"/>
    </row>
    <row r="251" spans="1:13" ht="14.25" customHeight="1" x14ac:dyDescent="0.2">
      <c r="A251" s="11"/>
      <c r="B251" s="11"/>
      <c r="C251" s="11"/>
      <c r="D251" s="6"/>
      <c r="E251" s="11"/>
      <c r="F251" s="11"/>
      <c r="G251" s="11"/>
      <c r="H251" s="11"/>
      <c r="I251" s="11"/>
      <c r="J251" s="11"/>
      <c r="K251" s="11"/>
      <c r="L251" s="11"/>
      <c r="M251" s="11"/>
    </row>
    <row r="252" spans="1:13" ht="14.25" customHeight="1" x14ac:dyDescent="0.2">
      <c r="A252" s="11"/>
      <c r="B252" s="11"/>
      <c r="C252" s="11"/>
      <c r="D252" s="6"/>
      <c r="E252" s="11"/>
      <c r="F252" s="11"/>
      <c r="G252" s="11"/>
      <c r="H252" s="11"/>
      <c r="I252" s="11"/>
      <c r="J252" s="11"/>
      <c r="K252" s="11"/>
      <c r="L252" s="11"/>
      <c r="M252" s="11"/>
    </row>
    <row r="253" spans="1:13" ht="14.25" customHeight="1" x14ac:dyDescent="0.2">
      <c r="A253" s="11"/>
      <c r="B253" s="11"/>
      <c r="C253" s="11"/>
      <c r="D253" s="6"/>
      <c r="E253" s="11"/>
      <c r="F253" s="11"/>
      <c r="G253" s="11"/>
      <c r="H253" s="11"/>
      <c r="I253" s="11"/>
      <c r="J253" s="11"/>
      <c r="K253" s="11"/>
      <c r="L253" s="11"/>
      <c r="M253" s="11"/>
    </row>
    <row r="254" spans="1:13" ht="14.25" customHeight="1" x14ac:dyDescent="0.2">
      <c r="A254" s="11"/>
      <c r="B254" s="11"/>
      <c r="C254" s="11"/>
      <c r="D254" s="6"/>
      <c r="E254" s="11"/>
      <c r="F254" s="11"/>
      <c r="G254" s="11"/>
      <c r="H254" s="11"/>
      <c r="I254" s="11"/>
      <c r="J254" s="11"/>
      <c r="K254" s="11"/>
      <c r="L254" s="11"/>
      <c r="M254" s="11"/>
    </row>
    <row r="255" spans="1:13" ht="14.25" customHeight="1" x14ac:dyDescent="0.2">
      <c r="A255" s="11"/>
      <c r="B255" s="11"/>
      <c r="C255" s="11"/>
      <c r="D255" s="6"/>
      <c r="E255" s="11"/>
      <c r="F255" s="11"/>
      <c r="G255" s="11"/>
      <c r="H255" s="11"/>
      <c r="I255" s="11"/>
      <c r="J255" s="11"/>
      <c r="K255" s="11"/>
      <c r="L255" s="11"/>
      <c r="M255" s="11"/>
    </row>
    <row r="256" spans="1:13" ht="14.25" customHeight="1" x14ac:dyDescent="0.2">
      <c r="A256" s="11"/>
      <c r="B256" s="11"/>
      <c r="C256" s="11"/>
      <c r="D256" s="6"/>
      <c r="E256" s="11"/>
      <c r="F256" s="11"/>
      <c r="G256" s="11"/>
      <c r="H256" s="11"/>
      <c r="I256" s="11"/>
      <c r="J256" s="11"/>
      <c r="K256" s="11"/>
      <c r="L256" s="11"/>
      <c r="M256" s="11"/>
    </row>
    <row r="257" spans="1:13" ht="14.25" customHeight="1" x14ac:dyDescent="0.2">
      <c r="A257" s="11"/>
      <c r="B257" s="11"/>
      <c r="C257" s="11"/>
      <c r="D257" s="6"/>
      <c r="E257" s="11"/>
      <c r="F257" s="11"/>
      <c r="G257" s="11"/>
      <c r="H257" s="11"/>
      <c r="I257" s="11"/>
      <c r="J257" s="11"/>
      <c r="K257" s="11"/>
      <c r="L257" s="11"/>
      <c r="M257" s="11"/>
    </row>
    <row r="258" spans="1:13" ht="14.25" customHeight="1" x14ac:dyDescent="0.2">
      <c r="A258" s="11"/>
      <c r="B258" s="11"/>
      <c r="C258" s="11"/>
      <c r="D258" s="6"/>
      <c r="E258" s="11"/>
      <c r="F258" s="11"/>
      <c r="G258" s="11"/>
      <c r="H258" s="11"/>
      <c r="I258" s="11"/>
      <c r="J258" s="11"/>
      <c r="K258" s="11"/>
      <c r="L258" s="11"/>
      <c r="M258" s="11"/>
    </row>
    <row r="259" spans="1:13" ht="14.25" customHeight="1" x14ac:dyDescent="0.2">
      <c r="A259" s="11"/>
      <c r="B259" s="11"/>
      <c r="C259" s="11"/>
      <c r="D259" s="6"/>
      <c r="E259" s="11"/>
      <c r="F259" s="11"/>
      <c r="G259" s="11"/>
      <c r="H259" s="11"/>
      <c r="I259" s="11"/>
      <c r="J259" s="11"/>
      <c r="K259" s="11"/>
      <c r="L259" s="11"/>
      <c r="M259" s="11"/>
    </row>
    <row r="260" spans="1:13" ht="14.25" customHeight="1" x14ac:dyDescent="0.2">
      <c r="A260" s="11"/>
      <c r="B260" s="11"/>
      <c r="C260" s="11"/>
      <c r="D260" s="6"/>
      <c r="E260" s="11"/>
      <c r="F260" s="11"/>
      <c r="G260" s="11"/>
      <c r="H260" s="11"/>
      <c r="I260" s="11"/>
      <c r="J260" s="11"/>
      <c r="K260" s="11"/>
      <c r="L260" s="11"/>
      <c r="M260" s="11"/>
    </row>
    <row r="261" spans="1:13" ht="14.25" customHeight="1" x14ac:dyDescent="0.2">
      <c r="A261" s="11"/>
      <c r="B261" s="11"/>
      <c r="C261" s="11"/>
      <c r="D261" s="6"/>
      <c r="E261" s="11"/>
      <c r="F261" s="11"/>
      <c r="G261" s="11"/>
      <c r="H261" s="11"/>
      <c r="I261" s="11"/>
      <c r="J261" s="11"/>
      <c r="K261" s="11"/>
      <c r="L261" s="11"/>
      <c r="M261" s="11"/>
    </row>
    <row r="262" spans="1:13" ht="14.25" customHeight="1" x14ac:dyDescent="0.2">
      <c r="A262" s="11"/>
      <c r="B262" s="11"/>
      <c r="C262" s="11"/>
      <c r="D262" s="6"/>
      <c r="E262" s="11"/>
      <c r="F262" s="11"/>
      <c r="G262" s="11"/>
      <c r="H262" s="11"/>
      <c r="I262" s="11"/>
      <c r="J262" s="11"/>
      <c r="K262" s="11"/>
      <c r="L262" s="11"/>
      <c r="M262" s="11"/>
    </row>
    <row r="263" spans="1:13" ht="14.25" customHeight="1" x14ac:dyDescent="0.2">
      <c r="A263" s="11"/>
      <c r="B263" s="11"/>
      <c r="C263" s="11"/>
      <c r="D263" s="6"/>
      <c r="E263" s="11"/>
      <c r="F263" s="11"/>
      <c r="G263" s="11"/>
      <c r="H263" s="11"/>
      <c r="I263" s="11"/>
      <c r="J263" s="11"/>
      <c r="K263" s="11"/>
      <c r="L263" s="11"/>
      <c r="M263" s="11"/>
    </row>
    <row r="264" spans="1:13" ht="14.25" customHeight="1" x14ac:dyDescent="0.2">
      <c r="A264" s="11"/>
      <c r="B264" s="11"/>
      <c r="C264" s="11"/>
      <c r="D264" s="6"/>
      <c r="E264" s="11"/>
      <c r="F264" s="11"/>
      <c r="G264" s="11"/>
      <c r="H264" s="11"/>
      <c r="I264" s="11"/>
      <c r="J264" s="11"/>
      <c r="K264" s="11"/>
      <c r="L264" s="11"/>
      <c r="M264" s="11"/>
    </row>
    <row r="265" spans="1:13" ht="14.25" customHeight="1" x14ac:dyDescent="0.2">
      <c r="A265" s="11"/>
      <c r="B265" s="11"/>
      <c r="C265" s="11"/>
      <c r="D265" s="6"/>
      <c r="E265" s="11"/>
      <c r="F265" s="11"/>
      <c r="G265" s="11"/>
      <c r="H265" s="11"/>
      <c r="I265" s="11"/>
      <c r="J265" s="11"/>
      <c r="K265" s="11"/>
      <c r="L265" s="11"/>
      <c r="M265" s="11"/>
    </row>
    <row r="266" spans="1:13" ht="14.25" customHeight="1" x14ac:dyDescent="0.2">
      <c r="A266" s="11"/>
      <c r="B266" s="11"/>
      <c r="C266" s="11"/>
      <c r="D266" s="6"/>
      <c r="E266" s="11"/>
      <c r="F266" s="11"/>
      <c r="G266" s="11"/>
      <c r="H266" s="11"/>
      <c r="I266" s="11"/>
      <c r="J266" s="11"/>
      <c r="K266" s="11"/>
      <c r="L266" s="11"/>
      <c r="M266" s="11"/>
    </row>
    <row r="267" spans="1:13" ht="14.25" customHeight="1" x14ac:dyDescent="0.2">
      <c r="A267" s="11"/>
      <c r="B267" s="11"/>
      <c r="C267" s="11"/>
      <c r="D267" s="6"/>
      <c r="E267" s="11"/>
      <c r="F267" s="11"/>
      <c r="G267" s="11"/>
      <c r="H267" s="11"/>
      <c r="I267" s="11"/>
      <c r="J267" s="11"/>
      <c r="K267" s="11"/>
      <c r="L267" s="11"/>
      <c r="M267" s="11"/>
    </row>
    <row r="268" spans="1:13" ht="14.25" customHeight="1" x14ac:dyDescent="0.2">
      <c r="A268" s="11"/>
      <c r="B268" s="11"/>
      <c r="C268" s="11"/>
      <c r="D268" s="6"/>
      <c r="E268" s="11"/>
      <c r="F268" s="11"/>
      <c r="G268" s="11"/>
      <c r="H268" s="11"/>
      <c r="I268" s="11"/>
      <c r="J268" s="11"/>
      <c r="K268" s="11"/>
      <c r="L268" s="11"/>
      <c r="M268" s="11"/>
    </row>
    <row r="269" spans="1:13" ht="14.25" customHeight="1" x14ac:dyDescent="0.2">
      <c r="A269" s="11"/>
      <c r="B269" s="11"/>
      <c r="C269" s="11"/>
      <c r="D269" s="6"/>
      <c r="E269" s="11"/>
      <c r="F269" s="11"/>
      <c r="G269" s="11"/>
      <c r="H269" s="11"/>
      <c r="I269" s="11"/>
      <c r="J269" s="11"/>
      <c r="K269" s="11"/>
      <c r="L269" s="11"/>
      <c r="M269" s="11"/>
    </row>
    <row r="270" spans="1:13" ht="14.25" customHeight="1" x14ac:dyDescent="0.2">
      <c r="A270" s="11"/>
      <c r="B270" s="11"/>
      <c r="C270" s="11"/>
      <c r="D270" s="6"/>
      <c r="E270" s="11"/>
      <c r="F270" s="11"/>
      <c r="G270" s="11"/>
      <c r="H270" s="11"/>
      <c r="I270" s="11"/>
      <c r="J270" s="11"/>
      <c r="K270" s="11"/>
      <c r="L270" s="11"/>
      <c r="M270" s="11"/>
    </row>
    <row r="271" spans="1:13" ht="14.25" customHeight="1" x14ac:dyDescent="0.2">
      <c r="A271" s="11"/>
      <c r="B271" s="11"/>
      <c r="C271" s="11"/>
      <c r="D271" s="6"/>
      <c r="E271" s="11"/>
      <c r="F271" s="11"/>
      <c r="G271" s="11"/>
      <c r="H271" s="11"/>
      <c r="I271" s="11"/>
      <c r="J271" s="11"/>
      <c r="K271" s="11"/>
      <c r="L271" s="11"/>
      <c r="M271" s="11"/>
    </row>
    <row r="272" spans="1:13" ht="14.25" customHeight="1" x14ac:dyDescent="0.2">
      <c r="A272" s="11"/>
      <c r="B272" s="11"/>
      <c r="C272" s="11"/>
      <c r="D272" s="6"/>
      <c r="E272" s="11"/>
      <c r="F272" s="11"/>
      <c r="G272" s="11"/>
      <c r="H272" s="11"/>
      <c r="I272" s="11"/>
      <c r="J272" s="11"/>
      <c r="K272" s="11"/>
      <c r="L272" s="11"/>
      <c r="M272" s="11"/>
    </row>
    <row r="273" spans="1:13" ht="14.25" customHeight="1" x14ac:dyDescent="0.2">
      <c r="A273" s="11"/>
      <c r="B273" s="11"/>
      <c r="C273" s="11"/>
      <c r="D273" s="6"/>
      <c r="E273" s="11"/>
      <c r="F273" s="11"/>
      <c r="G273" s="11"/>
      <c r="H273" s="11"/>
      <c r="I273" s="11"/>
      <c r="J273" s="11"/>
      <c r="K273" s="11"/>
      <c r="L273" s="11"/>
      <c r="M273" s="11"/>
    </row>
    <row r="274" spans="1:13" ht="14.25" customHeight="1" x14ac:dyDescent="0.2">
      <c r="A274" s="11"/>
      <c r="B274" s="11"/>
      <c r="C274" s="11"/>
      <c r="D274" s="6"/>
      <c r="E274" s="11"/>
      <c r="F274" s="11"/>
      <c r="G274" s="11"/>
      <c r="H274" s="11"/>
      <c r="I274" s="11"/>
      <c r="J274" s="11"/>
      <c r="K274" s="11"/>
      <c r="L274" s="11"/>
      <c r="M274" s="11"/>
    </row>
    <row r="275" spans="1:13" ht="14.25" customHeight="1" x14ac:dyDescent="0.2">
      <c r="A275" s="11"/>
      <c r="B275" s="11"/>
      <c r="C275" s="11"/>
      <c r="D275" s="6"/>
      <c r="E275" s="11"/>
      <c r="F275" s="11"/>
      <c r="G275" s="11"/>
      <c r="H275" s="11"/>
      <c r="I275" s="11"/>
      <c r="J275" s="11"/>
      <c r="K275" s="11"/>
      <c r="L275" s="11"/>
      <c r="M275" s="11"/>
    </row>
    <row r="276" spans="1:13" ht="14.25" customHeight="1" x14ac:dyDescent="0.2">
      <c r="A276" s="11"/>
      <c r="B276" s="11"/>
      <c r="C276" s="11"/>
      <c r="D276" s="6"/>
      <c r="E276" s="11"/>
      <c r="F276" s="11"/>
      <c r="G276" s="11"/>
      <c r="H276" s="11"/>
      <c r="I276" s="11"/>
      <c r="J276" s="11"/>
      <c r="K276" s="11"/>
      <c r="L276" s="11"/>
      <c r="M276" s="11"/>
    </row>
    <row r="277" spans="1:13" ht="14.25" customHeight="1" x14ac:dyDescent="0.2">
      <c r="A277" s="11"/>
      <c r="B277" s="11"/>
      <c r="C277" s="11"/>
      <c r="D277" s="6"/>
      <c r="E277" s="11"/>
      <c r="F277" s="11"/>
      <c r="G277" s="11"/>
      <c r="H277" s="11"/>
      <c r="I277" s="11"/>
      <c r="J277" s="11"/>
      <c r="K277" s="11"/>
      <c r="L277" s="11"/>
      <c r="M277" s="11"/>
    </row>
    <row r="278" spans="1:13" ht="14.25" customHeight="1" x14ac:dyDescent="0.2">
      <c r="A278" s="11"/>
      <c r="B278" s="11"/>
      <c r="C278" s="11"/>
      <c r="D278" s="6"/>
      <c r="E278" s="11"/>
      <c r="F278" s="11"/>
      <c r="G278" s="11"/>
      <c r="H278" s="11"/>
      <c r="I278" s="11"/>
      <c r="J278" s="11"/>
      <c r="K278" s="11"/>
      <c r="L278" s="11"/>
      <c r="M278" s="11"/>
    </row>
    <row r="279" spans="1:13" ht="14.25" customHeight="1" x14ac:dyDescent="0.2">
      <c r="A279" s="11"/>
      <c r="B279" s="11"/>
      <c r="C279" s="11"/>
      <c r="D279" s="6"/>
      <c r="E279" s="11"/>
      <c r="F279" s="11"/>
      <c r="G279" s="11"/>
      <c r="H279" s="11"/>
      <c r="I279" s="11"/>
      <c r="J279" s="11"/>
      <c r="K279" s="11"/>
      <c r="L279" s="11"/>
      <c r="M279" s="11"/>
    </row>
    <row r="280" spans="1:13" ht="14.25" customHeight="1" x14ac:dyDescent="0.2">
      <c r="A280" s="11"/>
      <c r="B280" s="11"/>
      <c r="C280" s="11"/>
      <c r="D280" s="6"/>
      <c r="E280" s="11"/>
      <c r="F280" s="11"/>
      <c r="G280" s="11"/>
      <c r="H280" s="11"/>
      <c r="I280" s="11"/>
      <c r="J280" s="11"/>
      <c r="K280" s="11"/>
      <c r="L280" s="11"/>
      <c r="M280" s="11"/>
    </row>
    <row r="281" spans="1:13" ht="14.25" customHeight="1" x14ac:dyDescent="0.2">
      <c r="A281" s="11"/>
      <c r="B281" s="11"/>
      <c r="C281" s="11"/>
      <c r="D281" s="6"/>
      <c r="E281" s="11"/>
      <c r="F281" s="11"/>
      <c r="G281" s="11"/>
      <c r="H281" s="11"/>
      <c r="I281" s="11"/>
      <c r="J281" s="11"/>
      <c r="K281" s="11"/>
      <c r="L281" s="11"/>
      <c r="M281" s="11"/>
    </row>
    <row r="282" spans="1:13" ht="14.25" customHeight="1" x14ac:dyDescent="0.2">
      <c r="A282" s="11"/>
      <c r="B282" s="11"/>
      <c r="C282" s="11"/>
      <c r="D282" s="6"/>
      <c r="E282" s="11"/>
      <c r="F282" s="11"/>
      <c r="G282" s="11"/>
      <c r="H282" s="11"/>
      <c r="I282" s="11"/>
      <c r="J282" s="11"/>
      <c r="K282" s="11"/>
      <c r="L282" s="11"/>
      <c r="M282" s="11"/>
    </row>
    <row r="283" spans="1:13" ht="14.25" customHeight="1" x14ac:dyDescent="0.2">
      <c r="A283" s="11"/>
      <c r="B283" s="11"/>
      <c r="C283" s="11"/>
      <c r="D283" s="6"/>
      <c r="E283" s="11"/>
      <c r="F283" s="11"/>
      <c r="G283" s="11"/>
      <c r="H283" s="11"/>
      <c r="I283" s="11"/>
      <c r="J283" s="11"/>
      <c r="K283" s="11"/>
      <c r="L283" s="11"/>
      <c r="M283" s="11"/>
    </row>
    <row r="284" spans="1:13" ht="14.25" customHeight="1" x14ac:dyDescent="0.2">
      <c r="A284" s="11"/>
      <c r="B284" s="11"/>
      <c r="C284" s="11"/>
      <c r="D284" s="6"/>
      <c r="E284" s="11"/>
      <c r="F284" s="11"/>
      <c r="G284" s="11"/>
      <c r="H284" s="11"/>
      <c r="I284" s="11"/>
      <c r="J284" s="11"/>
      <c r="K284" s="11"/>
      <c r="L284" s="11"/>
      <c r="M284" s="11"/>
    </row>
    <row r="285" spans="1:13" ht="14.25" customHeight="1" x14ac:dyDescent="0.2">
      <c r="A285" s="11"/>
      <c r="B285" s="11"/>
      <c r="C285" s="11"/>
      <c r="D285" s="6"/>
      <c r="E285" s="11"/>
      <c r="F285" s="11"/>
      <c r="G285" s="11"/>
      <c r="H285" s="11"/>
      <c r="I285" s="11"/>
      <c r="J285" s="11"/>
      <c r="K285" s="11"/>
      <c r="L285" s="11"/>
      <c r="M285" s="11"/>
    </row>
    <row r="286" spans="1:13" ht="14.25" customHeight="1" x14ac:dyDescent="0.2">
      <c r="A286" s="11"/>
      <c r="B286" s="11"/>
      <c r="C286" s="11"/>
      <c r="D286" s="6"/>
      <c r="E286" s="11"/>
      <c r="F286" s="11"/>
      <c r="G286" s="11"/>
      <c r="H286" s="11"/>
      <c r="I286" s="11"/>
      <c r="J286" s="11"/>
      <c r="K286" s="11"/>
      <c r="L286" s="11"/>
      <c r="M286" s="11"/>
    </row>
    <row r="287" spans="1:13" ht="14.25" customHeight="1" x14ac:dyDescent="0.2">
      <c r="A287" s="11"/>
      <c r="B287" s="11"/>
      <c r="C287" s="11"/>
      <c r="D287" s="6"/>
      <c r="E287" s="11"/>
      <c r="F287" s="11"/>
      <c r="G287" s="11"/>
      <c r="H287" s="11"/>
      <c r="I287" s="11"/>
      <c r="J287" s="11"/>
      <c r="K287" s="11"/>
      <c r="L287" s="11"/>
      <c r="M287" s="11"/>
    </row>
    <row r="288" spans="1:13" ht="14.25" customHeight="1" x14ac:dyDescent="0.2">
      <c r="A288" s="11"/>
      <c r="B288" s="11"/>
      <c r="C288" s="11"/>
      <c r="D288" s="6"/>
      <c r="E288" s="11"/>
      <c r="F288" s="11"/>
      <c r="G288" s="11"/>
      <c r="H288" s="11"/>
      <c r="I288" s="11"/>
      <c r="J288" s="11"/>
      <c r="K288" s="11"/>
      <c r="L288" s="11"/>
      <c r="M288" s="11"/>
    </row>
    <row r="289" spans="1:13" ht="14.25" customHeight="1" x14ac:dyDescent="0.2">
      <c r="A289" s="11"/>
      <c r="B289" s="11"/>
      <c r="C289" s="11"/>
      <c r="D289" s="6"/>
      <c r="E289" s="11"/>
      <c r="F289" s="11"/>
      <c r="G289" s="11"/>
      <c r="H289" s="11"/>
      <c r="I289" s="11"/>
      <c r="J289" s="11"/>
      <c r="K289" s="11"/>
      <c r="L289" s="11"/>
      <c r="M289" s="11"/>
    </row>
    <row r="290" spans="1:13" ht="14.25" customHeight="1" x14ac:dyDescent="0.2">
      <c r="A290" s="11"/>
      <c r="B290" s="11"/>
      <c r="C290" s="11"/>
      <c r="D290" s="6"/>
      <c r="E290" s="11"/>
      <c r="F290" s="11"/>
      <c r="G290" s="11"/>
      <c r="H290" s="11"/>
      <c r="I290" s="11"/>
      <c r="J290" s="11"/>
      <c r="K290" s="11"/>
      <c r="L290" s="11"/>
      <c r="M290" s="11"/>
    </row>
    <row r="291" spans="1:13" ht="14.25" customHeight="1" x14ac:dyDescent="0.2">
      <c r="A291" s="11"/>
      <c r="B291" s="11"/>
      <c r="C291" s="11"/>
      <c r="D291" s="6"/>
      <c r="E291" s="11"/>
      <c r="F291" s="11"/>
      <c r="G291" s="11"/>
      <c r="H291" s="11"/>
      <c r="I291" s="11"/>
      <c r="J291" s="11"/>
      <c r="K291" s="11"/>
      <c r="L291" s="11"/>
      <c r="M291" s="11"/>
    </row>
    <row r="292" spans="1:13" ht="14.25" customHeight="1" x14ac:dyDescent="0.2">
      <c r="A292" s="11"/>
      <c r="B292" s="11"/>
      <c r="C292" s="11"/>
      <c r="D292" s="6"/>
      <c r="E292" s="11"/>
      <c r="F292" s="11"/>
      <c r="G292" s="11"/>
      <c r="H292" s="11"/>
      <c r="I292" s="11"/>
      <c r="J292" s="11"/>
      <c r="K292" s="11"/>
      <c r="L292" s="11"/>
      <c r="M292" s="11"/>
    </row>
    <row r="293" spans="1:13" ht="14.25" customHeight="1" x14ac:dyDescent="0.2">
      <c r="A293" s="11"/>
      <c r="B293" s="11"/>
      <c r="C293" s="11"/>
      <c r="D293" s="6"/>
      <c r="E293" s="11"/>
      <c r="F293" s="11"/>
      <c r="G293" s="11"/>
      <c r="H293" s="11"/>
      <c r="I293" s="11"/>
      <c r="J293" s="11"/>
      <c r="K293" s="11"/>
      <c r="L293" s="11"/>
      <c r="M293" s="11"/>
    </row>
    <row r="294" spans="1:13" ht="14.25" customHeight="1" x14ac:dyDescent="0.2">
      <c r="A294" s="11"/>
      <c r="B294" s="11"/>
      <c r="C294" s="11"/>
      <c r="D294" s="6"/>
      <c r="E294" s="11"/>
      <c r="F294" s="11"/>
      <c r="G294" s="11"/>
      <c r="H294" s="11"/>
      <c r="I294" s="11"/>
      <c r="J294" s="11"/>
      <c r="K294" s="11"/>
      <c r="L294" s="11"/>
      <c r="M294" s="11"/>
    </row>
    <row r="295" spans="1:13" ht="14.25" customHeight="1" x14ac:dyDescent="0.2">
      <c r="A295" s="11"/>
      <c r="B295" s="11"/>
      <c r="C295" s="11"/>
      <c r="D295" s="6"/>
      <c r="E295" s="11"/>
      <c r="F295" s="11"/>
      <c r="G295" s="11"/>
      <c r="H295" s="11"/>
      <c r="I295" s="11"/>
      <c r="J295" s="11"/>
      <c r="K295" s="11"/>
      <c r="L295" s="11"/>
      <c r="M295" s="11"/>
    </row>
    <row r="296" spans="1:13" ht="14.25" customHeight="1" x14ac:dyDescent="0.2">
      <c r="A296" s="11"/>
      <c r="B296" s="11"/>
      <c r="C296" s="11"/>
      <c r="D296" s="6"/>
      <c r="E296" s="11"/>
      <c r="F296" s="11"/>
      <c r="G296" s="11"/>
      <c r="H296" s="11"/>
      <c r="I296" s="11"/>
      <c r="J296" s="11"/>
      <c r="K296" s="11"/>
      <c r="L296" s="11"/>
      <c r="M296" s="11"/>
    </row>
    <row r="297" spans="1:13" ht="14.25" customHeight="1" x14ac:dyDescent="0.2">
      <c r="A297" s="11"/>
      <c r="B297" s="11"/>
      <c r="C297" s="11"/>
      <c r="D297" s="6"/>
      <c r="E297" s="11"/>
      <c r="F297" s="11"/>
      <c r="G297" s="11"/>
      <c r="H297" s="11"/>
      <c r="I297" s="11"/>
      <c r="J297" s="11"/>
      <c r="K297" s="11"/>
      <c r="L297" s="11"/>
      <c r="M297" s="11"/>
    </row>
    <row r="298" spans="1:13" ht="14.25" customHeight="1" x14ac:dyDescent="0.2">
      <c r="A298" s="11"/>
      <c r="B298" s="11"/>
      <c r="C298" s="11"/>
      <c r="D298" s="6"/>
      <c r="E298" s="11"/>
      <c r="F298" s="11"/>
      <c r="G298" s="11"/>
      <c r="H298" s="11"/>
      <c r="I298" s="11"/>
      <c r="J298" s="11"/>
      <c r="K298" s="11"/>
      <c r="L298" s="11"/>
      <c r="M298" s="11"/>
    </row>
    <row r="299" spans="1:13" ht="14.25" customHeight="1" x14ac:dyDescent="0.2">
      <c r="A299" s="11"/>
      <c r="B299" s="11"/>
      <c r="C299" s="11"/>
      <c r="D299" s="6"/>
      <c r="E299" s="11"/>
      <c r="F299" s="11"/>
      <c r="G299" s="11"/>
      <c r="H299" s="11"/>
      <c r="I299" s="11"/>
      <c r="J299" s="11"/>
      <c r="K299" s="11"/>
      <c r="L299" s="11"/>
      <c r="M299" s="11"/>
    </row>
    <row r="300" spans="1:13" ht="14.25" customHeight="1" x14ac:dyDescent="0.2">
      <c r="A300" s="11"/>
      <c r="B300" s="11"/>
      <c r="C300" s="11"/>
      <c r="D300" s="6"/>
      <c r="E300" s="11"/>
      <c r="F300" s="11"/>
      <c r="G300" s="11"/>
      <c r="H300" s="11"/>
      <c r="I300" s="11"/>
      <c r="J300" s="11"/>
      <c r="K300" s="11"/>
      <c r="L300" s="11"/>
      <c r="M300" s="11"/>
    </row>
    <row r="301" spans="1:13" ht="14.25" customHeight="1" x14ac:dyDescent="0.2">
      <c r="A301" s="11"/>
      <c r="B301" s="11"/>
      <c r="C301" s="11"/>
      <c r="D301" s="6"/>
      <c r="E301" s="11"/>
      <c r="F301" s="11"/>
      <c r="G301" s="11"/>
      <c r="H301" s="11"/>
      <c r="I301" s="11"/>
      <c r="J301" s="11"/>
      <c r="K301" s="11"/>
      <c r="L301" s="11"/>
      <c r="M301" s="11"/>
    </row>
    <row r="302" spans="1:13" ht="14.25" customHeight="1" x14ac:dyDescent="0.2">
      <c r="A302" s="11"/>
      <c r="B302" s="11"/>
      <c r="C302" s="11"/>
      <c r="D302" s="6"/>
      <c r="E302" s="11"/>
      <c r="F302" s="11"/>
      <c r="G302" s="11"/>
      <c r="H302" s="11"/>
      <c r="I302" s="11"/>
      <c r="J302" s="11"/>
      <c r="K302" s="11"/>
      <c r="L302" s="11"/>
      <c r="M302" s="11"/>
    </row>
    <row r="303" spans="1:13" ht="14.25" customHeight="1" x14ac:dyDescent="0.2">
      <c r="A303" s="11"/>
      <c r="B303" s="11"/>
      <c r="C303" s="11"/>
      <c r="D303" s="6"/>
      <c r="E303" s="11"/>
      <c r="F303" s="11"/>
      <c r="G303" s="11"/>
      <c r="H303" s="11"/>
      <c r="I303" s="11"/>
      <c r="J303" s="11"/>
      <c r="K303" s="11"/>
      <c r="L303" s="11"/>
      <c r="M303" s="11"/>
    </row>
    <row r="304" spans="1:13" ht="14.25" customHeight="1" x14ac:dyDescent="0.2">
      <c r="A304" s="11"/>
      <c r="B304" s="11"/>
      <c r="C304" s="11"/>
      <c r="D304" s="6"/>
      <c r="E304" s="11"/>
      <c r="F304" s="11"/>
      <c r="G304" s="11"/>
      <c r="H304" s="11"/>
      <c r="I304" s="11"/>
      <c r="J304" s="11"/>
      <c r="K304" s="11"/>
      <c r="L304" s="11"/>
      <c r="M304" s="11"/>
    </row>
    <row r="305" spans="1:13" ht="14.25" customHeight="1" x14ac:dyDescent="0.2">
      <c r="A305" s="11"/>
      <c r="B305" s="11"/>
      <c r="C305" s="11"/>
      <c r="D305" s="6"/>
      <c r="E305" s="11"/>
      <c r="F305" s="11"/>
      <c r="G305" s="11"/>
      <c r="H305" s="11"/>
      <c r="I305" s="11"/>
      <c r="J305" s="11"/>
      <c r="K305" s="11"/>
      <c r="L305" s="11"/>
      <c r="M305" s="11"/>
    </row>
    <row r="306" spans="1:13" ht="14.25" customHeight="1" x14ac:dyDescent="0.2">
      <c r="A306" s="11"/>
      <c r="B306" s="11"/>
      <c r="C306" s="11"/>
      <c r="D306" s="6"/>
      <c r="E306" s="11"/>
      <c r="F306" s="11"/>
      <c r="G306" s="11"/>
      <c r="H306" s="11"/>
      <c r="I306" s="11"/>
      <c r="J306" s="11"/>
      <c r="K306" s="11"/>
      <c r="L306" s="11"/>
      <c r="M306" s="11"/>
    </row>
    <row r="307" spans="1:13" ht="14.25" customHeight="1" x14ac:dyDescent="0.2">
      <c r="A307" s="11"/>
      <c r="B307" s="11"/>
      <c r="C307" s="11"/>
      <c r="D307" s="6"/>
      <c r="E307" s="11"/>
      <c r="F307" s="11"/>
      <c r="G307" s="11"/>
      <c r="H307" s="11"/>
      <c r="I307" s="11"/>
      <c r="J307" s="11"/>
      <c r="K307" s="11"/>
      <c r="L307" s="11"/>
      <c r="M307" s="11"/>
    </row>
    <row r="308" spans="1:13" ht="14.25" customHeight="1" x14ac:dyDescent="0.2">
      <c r="A308" s="11"/>
      <c r="B308" s="11"/>
      <c r="C308" s="11"/>
      <c r="D308" s="6"/>
      <c r="E308" s="11"/>
      <c r="F308" s="11"/>
      <c r="G308" s="11"/>
      <c r="H308" s="11"/>
      <c r="I308" s="11"/>
      <c r="J308" s="11"/>
      <c r="K308" s="11"/>
      <c r="L308" s="11"/>
      <c r="M308" s="11"/>
    </row>
    <row r="309" spans="1:13" ht="14.25" customHeight="1" x14ac:dyDescent="0.2">
      <c r="A309" s="11"/>
      <c r="B309" s="11"/>
      <c r="C309" s="11"/>
      <c r="D309" s="6"/>
      <c r="E309" s="11"/>
      <c r="F309" s="11"/>
      <c r="G309" s="11"/>
      <c r="H309" s="11"/>
      <c r="I309" s="11"/>
      <c r="J309" s="11"/>
      <c r="K309" s="11"/>
      <c r="L309" s="11"/>
      <c r="M309" s="11"/>
    </row>
    <row r="310" spans="1:13" ht="14.25" customHeight="1" x14ac:dyDescent="0.2">
      <c r="A310" s="11"/>
      <c r="B310" s="11"/>
      <c r="C310" s="11"/>
      <c r="D310" s="6"/>
      <c r="E310" s="11"/>
      <c r="F310" s="11"/>
      <c r="G310" s="11"/>
      <c r="H310" s="11"/>
      <c r="I310" s="11"/>
      <c r="J310" s="11"/>
      <c r="K310" s="11"/>
      <c r="L310" s="11"/>
      <c r="M310" s="11"/>
    </row>
    <row r="311" spans="1:13" ht="14.25" customHeight="1" x14ac:dyDescent="0.2">
      <c r="A311" s="11"/>
      <c r="B311" s="11"/>
      <c r="C311" s="11"/>
      <c r="D311" s="6"/>
      <c r="E311" s="11"/>
      <c r="F311" s="11"/>
      <c r="G311" s="11"/>
      <c r="H311" s="11"/>
      <c r="I311" s="11"/>
      <c r="J311" s="11"/>
      <c r="K311" s="11"/>
      <c r="L311" s="11"/>
      <c r="M311" s="11"/>
    </row>
    <row r="312" spans="1:13" ht="14.25" customHeight="1" x14ac:dyDescent="0.2">
      <c r="A312" s="11"/>
      <c r="B312" s="11"/>
      <c r="C312" s="11"/>
      <c r="D312" s="6"/>
      <c r="E312" s="11"/>
      <c r="F312" s="11"/>
      <c r="G312" s="11"/>
      <c r="H312" s="11"/>
      <c r="I312" s="11"/>
      <c r="J312" s="11"/>
      <c r="K312" s="11"/>
      <c r="L312" s="11"/>
      <c r="M312" s="11"/>
    </row>
    <row r="313" spans="1:13" ht="14.25" customHeight="1" x14ac:dyDescent="0.2">
      <c r="A313" s="11"/>
      <c r="B313" s="11"/>
      <c r="C313" s="11"/>
      <c r="D313" s="6"/>
      <c r="E313" s="11"/>
      <c r="F313" s="11"/>
      <c r="G313" s="11"/>
      <c r="H313" s="11"/>
      <c r="I313" s="11"/>
      <c r="J313" s="11"/>
      <c r="K313" s="11"/>
      <c r="L313" s="11"/>
      <c r="M313" s="11"/>
    </row>
    <row r="314" spans="1:13" ht="14.25" customHeight="1" x14ac:dyDescent="0.2">
      <c r="A314" s="11"/>
      <c r="B314" s="11"/>
      <c r="C314" s="11"/>
      <c r="D314" s="6"/>
      <c r="E314" s="11"/>
      <c r="F314" s="11"/>
      <c r="G314" s="11"/>
      <c r="H314" s="11"/>
      <c r="I314" s="11"/>
      <c r="J314" s="11"/>
      <c r="K314" s="11"/>
      <c r="L314" s="11"/>
      <c r="M314" s="11"/>
    </row>
    <row r="315" spans="1:13" ht="14.25" customHeight="1" x14ac:dyDescent="0.2">
      <c r="A315" s="11"/>
      <c r="B315" s="11"/>
      <c r="C315" s="11"/>
      <c r="D315" s="6"/>
      <c r="E315" s="11"/>
      <c r="F315" s="11"/>
      <c r="G315" s="11"/>
      <c r="H315" s="11"/>
      <c r="I315" s="11"/>
      <c r="J315" s="11"/>
      <c r="K315" s="11"/>
      <c r="L315" s="11"/>
      <c r="M315" s="11"/>
    </row>
    <row r="316" spans="1:13" ht="14.25" customHeight="1" x14ac:dyDescent="0.2">
      <c r="A316" s="11"/>
      <c r="B316" s="11"/>
      <c r="C316" s="11"/>
      <c r="D316" s="6"/>
      <c r="E316" s="11"/>
      <c r="F316" s="11"/>
      <c r="G316" s="11"/>
      <c r="H316" s="11"/>
      <c r="I316" s="11"/>
      <c r="J316" s="11"/>
      <c r="K316" s="11"/>
      <c r="L316" s="11"/>
      <c r="M316" s="11"/>
    </row>
    <row r="317" spans="1:13" ht="14.25" customHeight="1" x14ac:dyDescent="0.2">
      <c r="A317" s="11"/>
      <c r="B317" s="11"/>
      <c r="C317" s="11"/>
      <c r="D317" s="6"/>
      <c r="E317" s="11"/>
      <c r="F317" s="11"/>
      <c r="G317" s="11"/>
      <c r="H317" s="11"/>
      <c r="I317" s="11"/>
      <c r="J317" s="11"/>
      <c r="K317" s="11"/>
      <c r="L317" s="11"/>
      <c r="M317" s="11"/>
    </row>
    <row r="318" spans="1:13" ht="14.25" customHeight="1" x14ac:dyDescent="0.2">
      <c r="A318" s="11"/>
      <c r="B318" s="11"/>
      <c r="C318" s="11"/>
      <c r="D318" s="6"/>
      <c r="E318" s="11"/>
      <c r="F318" s="11"/>
      <c r="G318" s="11"/>
      <c r="H318" s="11"/>
      <c r="I318" s="11"/>
      <c r="J318" s="11"/>
      <c r="K318" s="11"/>
      <c r="L318" s="11"/>
      <c r="M318" s="11"/>
    </row>
    <row r="319" spans="1:13" ht="14.25" customHeight="1" x14ac:dyDescent="0.2">
      <c r="A319" s="11"/>
      <c r="B319" s="11"/>
      <c r="C319" s="11"/>
      <c r="D319" s="6"/>
      <c r="E319" s="11"/>
      <c r="F319" s="11"/>
      <c r="G319" s="11"/>
      <c r="H319" s="11"/>
      <c r="I319" s="11"/>
      <c r="J319" s="11"/>
      <c r="K319" s="11"/>
      <c r="L319" s="11"/>
      <c r="M319" s="11"/>
    </row>
    <row r="320" spans="1:13" ht="14.25" customHeight="1" x14ac:dyDescent="0.2">
      <c r="A320" s="11"/>
      <c r="B320" s="11"/>
      <c r="C320" s="11"/>
      <c r="D320" s="6"/>
      <c r="E320" s="11"/>
      <c r="F320" s="11"/>
      <c r="G320" s="11"/>
      <c r="H320" s="11"/>
      <c r="I320" s="11"/>
      <c r="J320" s="11"/>
      <c r="K320" s="11"/>
      <c r="L320" s="11"/>
      <c r="M320" s="11"/>
    </row>
    <row r="321" spans="1:13" ht="14.25" customHeight="1" x14ac:dyDescent="0.2">
      <c r="A321" s="11"/>
      <c r="B321" s="11"/>
      <c r="C321" s="11"/>
      <c r="D321" s="6"/>
      <c r="E321" s="11"/>
      <c r="F321" s="11"/>
      <c r="G321" s="11"/>
      <c r="H321" s="11"/>
      <c r="I321" s="11"/>
      <c r="J321" s="11"/>
      <c r="K321" s="11"/>
      <c r="L321" s="11"/>
      <c r="M321" s="11"/>
    </row>
    <row r="322" spans="1:13" ht="14.25" customHeight="1" x14ac:dyDescent="0.2">
      <c r="A322" s="11"/>
      <c r="B322" s="11"/>
      <c r="C322" s="11"/>
      <c r="D322" s="6"/>
      <c r="E322" s="11"/>
      <c r="F322" s="11"/>
      <c r="G322" s="11"/>
      <c r="H322" s="11"/>
      <c r="I322" s="11"/>
      <c r="J322" s="11"/>
      <c r="K322" s="11"/>
      <c r="L322" s="11"/>
      <c r="M322" s="11"/>
    </row>
    <row r="323" spans="1:13" ht="14.25" customHeight="1" x14ac:dyDescent="0.2">
      <c r="A323" s="11"/>
      <c r="B323" s="11"/>
      <c r="C323" s="11"/>
      <c r="D323" s="6"/>
      <c r="E323" s="11"/>
      <c r="F323" s="11"/>
      <c r="G323" s="11"/>
      <c r="H323" s="11"/>
      <c r="I323" s="11"/>
      <c r="J323" s="11"/>
      <c r="K323" s="11"/>
      <c r="L323" s="11"/>
      <c r="M323" s="11"/>
    </row>
    <row r="324" spans="1:13" ht="14.25" customHeight="1" x14ac:dyDescent="0.2">
      <c r="A324" s="11"/>
      <c r="B324" s="11"/>
      <c r="C324" s="11"/>
      <c r="D324" s="6"/>
      <c r="E324" s="11"/>
      <c r="F324" s="11"/>
      <c r="G324" s="11"/>
      <c r="H324" s="11"/>
      <c r="I324" s="11"/>
      <c r="J324" s="11"/>
      <c r="K324" s="11"/>
      <c r="L324" s="11"/>
      <c r="M324" s="11"/>
    </row>
    <row r="325" spans="1:13" ht="14.25" customHeight="1" x14ac:dyDescent="0.2">
      <c r="A325" s="11"/>
      <c r="B325" s="11"/>
      <c r="C325" s="11"/>
      <c r="D325" s="6"/>
      <c r="E325" s="11"/>
      <c r="F325" s="11"/>
      <c r="G325" s="11"/>
      <c r="H325" s="11"/>
      <c r="I325" s="11"/>
      <c r="J325" s="11"/>
      <c r="K325" s="11"/>
      <c r="L325" s="11"/>
      <c r="M325" s="11"/>
    </row>
    <row r="326" spans="1:13" ht="14.25" customHeight="1" x14ac:dyDescent="0.2">
      <c r="A326" s="11"/>
      <c r="B326" s="11"/>
      <c r="C326" s="11"/>
      <c r="D326" s="6"/>
      <c r="E326" s="11"/>
      <c r="F326" s="11"/>
      <c r="G326" s="11"/>
      <c r="H326" s="11"/>
      <c r="I326" s="11"/>
      <c r="J326" s="11"/>
      <c r="K326" s="11"/>
      <c r="L326" s="11"/>
      <c r="M326" s="11"/>
    </row>
    <row r="327" spans="1:13" ht="14.25" customHeight="1" x14ac:dyDescent="0.2">
      <c r="A327" s="11"/>
      <c r="B327" s="11"/>
      <c r="C327" s="11"/>
      <c r="D327" s="6"/>
      <c r="E327" s="11"/>
      <c r="F327" s="11"/>
      <c r="G327" s="11"/>
      <c r="H327" s="11"/>
      <c r="I327" s="11"/>
      <c r="J327" s="11"/>
      <c r="K327" s="11"/>
      <c r="L327" s="11"/>
      <c r="M327" s="11"/>
    </row>
    <row r="328" spans="1:13" ht="14.25" customHeight="1" x14ac:dyDescent="0.2">
      <c r="A328" s="11"/>
      <c r="B328" s="11"/>
      <c r="C328" s="11"/>
      <c r="D328" s="6"/>
      <c r="E328" s="11"/>
      <c r="F328" s="11"/>
      <c r="G328" s="11"/>
      <c r="H328" s="11"/>
      <c r="I328" s="11"/>
      <c r="J328" s="11"/>
      <c r="K328" s="11"/>
      <c r="L328" s="11"/>
      <c r="M328" s="11"/>
    </row>
    <row r="329" spans="1:13" ht="14.25" customHeight="1" x14ac:dyDescent="0.2">
      <c r="A329" s="11"/>
      <c r="B329" s="11"/>
      <c r="C329" s="11"/>
      <c r="D329" s="6"/>
      <c r="E329" s="11"/>
      <c r="F329" s="11"/>
      <c r="G329" s="11"/>
      <c r="H329" s="11"/>
      <c r="I329" s="11"/>
      <c r="J329" s="11"/>
      <c r="K329" s="11"/>
      <c r="L329" s="11"/>
      <c r="M329" s="11"/>
    </row>
    <row r="330" spans="1:13" ht="14.25" customHeight="1" x14ac:dyDescent="0.2">
      <c r="A330" s="11"/>
      <c r="B330" s="11"/>
      <c r="C330" s="11"/>
      <c r="D330" s="6"/>
      <c r="E330" s="11"/>
      <c r="F330" s="11"/>
      <c r="G330" s="11"/>
      <c r="H330" s="11"/>
      <c r="I330" s="11"/>
      <c r="J330" s="11"/>
      <c r="K330" s="11"/>
      <c r="L330" s="11"/>
      <c r="M330" s="11"/>
    </row>
    <row r="331" spans="1:13" ht="14.25" customHeight="1" x14ac:dyDescent="0.2">
      <c r="A331" s="11"/>
      <c r="B331" s="11"/>
      <c r="C331" s="11"/>
      <c r="D331" s="6"/>
      <c r="E331" s="11"/>
      <c r="F331" s="11"/>
      <c r="G331" s="11"/>
      <c r="H331" s="11"/>
      <c r="I331" s="11"/>
      <c r="J331" s="11"/>
      <c r="K331" s="11"/>
      <c r="L331" s="11"/>
      <c r="M331" s="11"/>
    </row>
    <row r="332" spans="1:13" ht="14.25" customHeight="1" x14ac:dyDescent="0.2">
      <c r="A332" s="11"/>
      <c r="B332" s="11"/>
      <c r="C332" s="11"/>
      <c r="D332" s="6"/>
      <c r="E332" s="11"/>
      <c r="F332" s="11"/>
      <c r="G332" s="11"/>
      <c r="H332" s="11"/>
      <c r="I332" s="11"/>
      <c r="J332" s="11"/>
      <c r="K332" s="11"/>
      <c r="L332" s="11"/>
      <c r="M332" s="11"/>
    </row>
    <row r="333" spans="1:13" ht="14.25" customHeight="1" x14ac:dyDescent="0.2">
      <c r="A333" s="11"/>
      <c r="B333" s="11"/>
      <c r="C333" s="11"/>
      <c r="D333" s="6"/>
      <c r="E333" s="11"/>
      <c r="F333" s="11"/>
      <c r="G333" s="11"/>
      <c r="H333" s="11"/>
      <c r="I333" s="11"/>
      <c r="J333" s="11"/>
      <c r="K333" s="11"/>
      <c r="L333" s="11"/>
      <c r="M333" s="11"/>
    </row>
    <row r="334" spans="1:13" ht="14.25" customHeight="1" x14ac:dyDescent="0.2">
      <c r="A334" s="11"/>
      <c r="B334" s="11"/>
      <c r="C334" s="11"/>
      <c r="D334" s="6"/>
      <c r="E334" s="11"/>
      <c r="F334" s="11"/>
      <c r="G334" s="11"/>
      <c r="H334" s="11"/>
      <c r="I334" s="11"/>
      <c r="J334" s="11"/>
      <c r="K334" s="11"/>
      <c r="L334" s="11"/>
      <c r="M334" s="11"/>
    </row>
    <row r="335" spans="1:13" ht="14.25" customHeight="1" x14ac:dyDescent="0.2">
      <c r="A335" s="11"/>
      <c r="B335" s="11"/>
      <c r="C335" s="11"/>
      <c r="D335" s="6"/>
      <c r="E335" s="11"/>
      <c r="F335" s="11"/>
      <c r="G335" s="11"/>
      <c r="H335" s="11"/>
      <c r="I335" s="11"/>
      <c r="J335" s="11"/>
      <c r="K335" s="11"/>
      <c r="L335" s="11"/>
      <c r="M335" s="11"/>
    </row>
    <row r="336" spans="1:13" ht="14.25" customHeight="1" x14ac:dyDescent="0.2">
      <c r="A336" s="11"/>
      <c r="B336" s="11"/>
      <c r="C336" s="11"/>
      <c r="D336" s="6"/>
      <c r="E336" s="11"/>
      <c r="F336" s="11"/>
      <c r="G336" s="11"/>
      <c r="H336" s="11"/>
      <c r="I336" s="11"/>
      <c r="J336" s="11"/>
      <c r="K336" s="11"/>
      <c r="L336" s="11"/>
      <c r="M336" s="11"/>
    </row>
    <row r="337" spans="1:13" ht="14.25" customHeight="1" x14ac:dyDescent="0.2">
      <c r="A337" s="11"/>
      <c r="B337" s="11"/>
      <c r="C337" s="11"/>
      <c r="D337" s="6"/>
      <c r="E337" s="11"/>
      <c r="F337" s="11"/>
      <c r="G337" s="11"/>
      <c r="H337" s="11"/>
      <c r="I337" s="11"/>
      <c r="J337" s="11"/>
      <c r="K337" s="11"/>
      <c r="L337" s="11"/>
      <c r="M337" s="11"/>
    </row>
    <row r="338" spans="1:13" ht="14.25" customHeight="1" x14ac:dyDescent="0.2">
      <c r="A338" s="11"/>
      <c r="B338" s="11"/>
      <c r="C338" s="11"/>
      <c r="D338" s="6"/>
      <c r="E338" s="11"/>
      <c r="F338" s="11"/>
      <c r="G338" s="11"/>
      <c r="H338" s="11"/>
      <c r="I338" s="11"/>
      <c r="J338" s="11"/>
      <c r="K338" s="11"/>
      <c r="L338" s="11"/>
      <c r="M338" s="11"/>
    </row>
    <row r="339" spans="1:13" ht="14.25" customHeight="1" x14ac:dyDescent="0.2">
      <c r="A339" s="11"/>
      <c r="B339" s="11"/>
      <c r="C339" s="11"/>
      <c r="D339" s="6"/>
      <c r="E339" s="11"/>
      <c r="F339" s="11"/>
      <c r="G339" s="11"/>
      <c r="H339" s="11"/>
      <c r="I339" s="11"/>
      <c r="J339" s="11"/>
      <c r="K339" s="11"/>
      <c r="L339" s="11"/>
      <c r="M339" s="11"/>
    </row>
    <row r="340" spans="1:13" ht="14.25" customHeight="1" x14ac:dyDescent="0.2">
      <c r="A340" s="11"/>
      <c r="B340" s="11"/>
      <c r="C340" s="11"/>
      <c r="D340" s="6"/>
      <c r="E340" s="11"/>
      <c r="F340" s="11"/>
      <c r="G340" s="11"/>
      <c r="H340" s="11"/>
      <c r="I340" s="11"/>
      <c r="J340" s="11"/>
      <c r="K340" s="11"/>
      <c r="L340" s="11"/>
      <c r="M340" s="11"/>
    </row>
    <row r="341" spans="1:13" ht="14.25" customHeight="1" x14ac:dyDescent="0.2">
      <c r="A341" s="11"/>
      <c r="B341" s="11"/>
      <c r="C341" s="11"/>
      <c r="D341" s="6"/>
      <c r="E341" s="11"/>
      <c r="F341" s="11"/>
      <c r="G341" s="11"/>
      <c r="H341" s="11"/>
      <c r="I341" s="11"/>
      <c r="J341" s="11"/>
      <c r="K341" s="11"/>
      <c r="L341" s="11"/>
      <c r="M341" s="11"/>
    </row>
    <row r="342" spans="1:13" ht="14.25" customHeight="1" x14ac:dyDescent="0.2">
      <c r="A342" s="11"/>
      <c r="B342" s="11"/>
      <c r="C342" s="11"/>
      <c r="D342" s="6"/>
      <c r="E342" s="11"/>
      <c r="F342" s="11"/>
      <c r="G342" s="11"/>
      <c r="H342" s="11"/>
      <c r="I342" s="11"/>
      <c r="J342" s="11"/>
      <c r="K342" s="11"/>
      <c r="L342" s="11"/>
      <c r="M342" s="11"/>
    </row>
    <row r="343" spans="1:13" ht="14.25" customHeight="1" x14ac:dyDescent="0.2">
      <c r="A343" s="11"/>
      <c r="B343" s="11"/>
      <c r="C343" s="11"/>
      <c r="D343" s="6"/>
      <c r="E343" s="11"/>
      <c r="F343" s="11"/>
      <c r="G343" s="11"/>
      <c r="H343" s="11"/>
      <c r="I343" s="11"/>
      <c r="J343" s="11"/>
      <c r="K343" s="11"/>
      <c r="L343" s="11"/>
      <c r="M343" s="11"/>
    </row>
    <row r="344" spans="1:13" ht="14.25" customHeight="1" x14ac:dyDescent="0.2">
      <c r="A344" s="11"/>
      <c r="B344" s="11"/>
      <c r="C344" s="11"/>
      <c r="D344" s="6"/>
      <c r="E344" s="11"/>
      <c r="F344" s="11"/>
      <c r="G344" s="11"/>
      <c r="H344" s="11"/>
      <c r="I344" s="11"/>
      <c r="J344" s="11"/>
      <c r="K344" s="11"/>
      <c r="L344" s="11"/>
      <c r="M344" s="11"/>
    </row>
    <row r="345" spans="1:13" ht="14.25" customHeight="1" x14ac:dyDescent="0.2">
      <c r="A345" s="11"/>
      <c r="B345" s="11"/>
      <c r="C345" s="11"/>
      <c r="D345" s="6"/>
      <c r="E345" s="11"/>
      <c r="F345" s="11"/>
      <c r="G345" s="11"/>
      <c r="H345" s="11"/>
      <c r="I345" s="11"/>
      <c r="J345" s="11"/>
      <c r="K345" s="11"/>
      <c r="L345" s="11"/>
      <c r="M345" s="11"/>
    </row>
    <row r="346" spans="1:13" ht="14.25" customHeight="1" x14ac:dyDescent="0.2">
      <c r="A346" s="11"/>
      <c r="B346" s="11"/>
      <c r="C346" s="11"/>
      <c r="D346" s="6"/>
      <c r="E346" s="11"/>
      <c r="F346" s="11"/>
      <c r="G346" s="11"/>
      <c r="H346" s="11"/>
      <c r="I346" s="11"/>
      <c r="J346" s="11"/>
      <c r="K346" s="11"/>
      <c r="L346" s="11"/>
      <c r="M346" s="11"/>
    </row>
    <row r="347" spans="1:13" ht="14.25" customHeight="1" x14ac:dyDescent="0.2">
      <c r="A347" s="11"/>
      <c r="B347" s="11"/>
      <c r="C347" s="11"/>
      <c r="D347" s="6"/>
      <c r="E347" s="11"/>
      <c r="F347" s="11"/>
      <c r="G347" s="11"/>
      <c r="H347" s="11"/>
      <c r="I347" s="11"/>
      <c r="J347" s="11"/>
      <c r="K347" s="11"/>
      <c r="L347" s="11"/>
      <c r="M347" s="11"/>
    </row>
    <row r="348" spans="1:13" ht="14.25" customHeight="1" x14ac:dyDescent="0.2">
      <c r="A348" s="11"/>
      <c r="B348" s="11"/>
      <c r="C348" s="11"/>
      <c r="D348" s="6"/>
      <c r="E348" s="11"/>
      <c r="F348" s="11"/>
      <c r="G348" s="11"/>
      <c r="H348" s="11"/>
      <c r="I348" s="11"/>
      <c r="J348" s="11"/>
      <c r="K348" s="11"/>
      <c r="L348" s="11"/>
      <c r="M348" s="11"/>
    </row>
    <row r="349" spans="1:13" ht="14.25" customHeight="1" x14ac:dyDescent="0.2">
      <c r="A349" s="11"/>
      <c r="B349" s="11"/>
      <c r="C349" s="11"/>
      <c r="D349" s="6"/>
      <c r="E349" s="11"/>
      <c r="F349" s="11"/>
      <c r="G349" s="11"/>
      <c r="H349" s="11"/>
      <c r="I349" s="11"/>
      <c r="J349" s="11"/>
      <c r="K349" s="11"/>
      <c r="L349" s="11"/>
      <c r="M349" s="11"/>
    </row>
    <row r="350" spans="1:13" ht="14.25" customHeight="1" x14ac:dyDescent="0.2">
      <c r="A350" s="11"/>
      <c r="B350" s="11"/>
      <c r="C350" s="11"/>
      <c r="D350" s="6"/>
      <c r="E350" s="11"/>
      <c r="F350" s="11"/>
      <c r="G350" s="11"/>
      <c r="H350" s="11"/>
      <c r="I350" s="11"/>
      <c r="J350" s="11"/>
      <c r="K350" s="11"/>
      <c r="L350" s="11"/>
      <c r="M350" s="11"/>
    </row>
    <row r="351" spans="1:13" ht="14.25" customHeight="1" x14ac:dyDescent="0.2">
      <c r="A351" s="11"/>
      <c r="B351" s="11"/>
      <c r="C351" s="11"/>
      <c r="D351" s="6"/>
      <c r="E351" s="11"/>
      <c r="F351" s="11"/>
      <c r="G351" s="11"/>
      <c r="H351" s="11"/>
      <c r="I351" s="11"/>
      <c r="J351" s="11"/>
      <c r="K351" s="11"/>
      <c r="L351" s="11"/>
      <c r="M351" s="11"/>
    </row>
    <row r="352" spans="1:13" ht="14.25" customHeight="1" x14ac:dyDescent="0.2">
      <c r="A352" s="11"/>
      <c r="B352" s="11"/>
      <c r="C352" s="11"/>
      <c r="D352" s="6"/>
      <c r="E352" s="11"/>
      <c r="F352" s="11"/>
      <c r="G352" s="11"/>
      <c r="H352" s="11"/>
      <c r="I352" s="11"/>
      <c r="J352" s="11"/>
      <c r="K352" s="11"/>
      <c r="L352" s="11"/>
      <c r="M352" s="11"/>
    </row>
    <row r="353" spans="1:13" ht="14.25" customHeight="1" x14ac:dyDescent="0.2">
      <c r="A353" s="11"/>
      <c r="B353" s="11"/>
      <c r="C353" s="11"/>
      <c r="D353" s="6"/>
      <c r="E353" s="11"/>
      <c r="F353" s="11"/>
      <c r="G353" s="11"/>
      <c r="H353" s="11"/>
      <c r="I353" s="11"/>
      <c r="J353" s="11"/>
      <c r="K353" s="11"/>
      <c r="L353" s="11"/>
      <c r="M353" s="11"/>
    </row>
    <row r="354" spans="1:13" ht="14.25" customHeight="1" x14ac:dyDescent="0.2">
      <c r="A354" s="11"/>
      <c r="B354" s="11"/>
      <c r="C354" s="11"/>
      <c r="D354" s="6"/>
      <c r="E354" s="11"/>
      <c r="F354" s="11"/>
      <c r="G354" s="11"/>
      <c r="H354" s="11"/>
      <c r="I354" s="11"/>
      <c r="J354" s="11"/>
      <c r="K354" s="11"/>
      <c r="L354" s="11"/>
      <c r="M354" s="11"/>
    </row>
    <row r="355" spans="1:13" ht="14.25" customHeight="1" x14ac:dyDescent="0.2">
      <c r="A355" s="11"/>
      <c r="B355" s="11"/>
      <c r="C355" s="11"/>
      <c r="D355" s="6"/>
      <c r="E355" s="11"/>
      <c r="F355" s="11"/>
      <c r="G355" s="11"/>
      <c r="H355" s="11"/>
      <c r="I355" s="11"/>
      <c r="J355" s="11"/>
      <c r="K355" s="11"/>
      <c r="L355" s="11"/>
      <c r="M355" s="11"/>
    </row>
    <row r="356" spans="1:13" ht="14.25" customHeight="1" x14ac:dyDescent="0.2">
      <c r="A356" s="11"/>
      <c r="B356" s="11"/>
      <c r="C356" s="11"/>
      <c r="D356" s="6"/>
      <c r="E356" s="11"/>
      <c r="F356" s="11"/>
      <c r="G356" s="11"/>
      <c r="H356" s="11"/>
      <c r="I356" s="11"/>
      <c r="J356" s="11"/>
      <c r="K356" s="11"/>
      <c r="L356" s="11"/>
      <c r="M356" s="11"/>
    </row>
    <row r="357" spans="1:13" ht="14.25" customHeight="1" x14ac:dyDescent="0.2">
      <c r="A357" s="11"/>
      <c r="B357" s="11"/>
      <c r="C357" s="11"/>
      <c r="D357" s="6"/>
      <c r="E357" s="11"/>
      <c r="F357" s="11"/>
      <c r="G357" s="11"/>
      <c r="H357" s="11"/>
      <c r="I357" s="11"/>
      <c r="J357" s="11"/>
      <c r="K357" s="11"/>
      <c r="L357" s="11"/>
      <c r="M357" s="11"/>
    </row>
    <row r="358" spans="1:13" ht="14.25" customHeight="1" x14ac:dyDescent="0.2">
      <c r="A358" s="11"/>
      <c r="B358" s="11"/>
      <c r="C358" s="11"/>
      <c r="D358" s="6"/>
      <c r="E358" s="11"/>
      <c r="F358" s="11"/>
      <c r="G358" s="11"/>
      <c r="H358" s="11"/>
      <c r="I358" s="11"/>
      <c r="J358" s="11"/>
      <c r="K358" s="11"/>
      <c r="L358" s="11"/>
      <c r="M358" s="11"/>
    </row>
    <row r="359" spans="1:13" ht="14.25" customHeight="1" x14ac:dyDescent="0.2">
      <c r="A359" s="11"/>
      <c r="B359" s="11"/>
      <c r="C359" s="11"/>
      <c r="D359" s="6"/>
      <c r="E359" s="11"/>
      <c r="F359" s="11"/>
      <c r="G359" s="11"/>
      <c r="H359" s="11"/>
      <c r="I359" s="11"/>
      <c r="J359" s="11"/>
      <c r="K359" s="11"/>
      <c r="L359" s="11"/>
      <c r="M359" s="11"/>
    </row>
    <row r="360" spans="1:13" ht="14.25" customHeight="1" x14ac:dyDescent="0.2">
      <c r="A360" s="11"/>
      <c r="B360" s="11"/>
      <c r="C360" s="11"/>
      <c r="D360" s="6"/>
      <c r="E360" s="11"/>
      <c r="F360" s="11"/>
      <c r="G360" s="11"/>
      <c r="H360" s="11"/>
      <c r="I360" s="11"/>
      <c r="J360" s="11"/>
      <c r="K360" s="11"/>
      <c r="L360" s="11"/>
      <c r="M360" s="11"/>
    </row>
    <row r="361" spans="1:13" ht="14.25" customHeight="1" x14ac:dyDescent="0.2">
      <c r="A361" s="11"/>
      <c r="B361" s="11"/>
      <c r="C361" s="11"/>
      <c r="D361" s="6"/>
      <c r="E361" s="11"/>
      <c r="F361" s="11"/>
      <c r="G361" s="11"/>
      <c r="H361" s="11"/>
      <c r="I361" s="11"/>
      <c r="J361" s="11"/>
      <c r="K361" s="11"/>
      <c r="L361" s="11"/>
      <c r="M361" s="11"/>
    </row>
    <row r="362" spans="1:13" ht="14.25" customHeight="1" x14ac:dyDescent="0.2">
      <c r="A362" s="11"/>
      <c r="B362" s="11"/>
      <c r="C362" s="11"/>
      <c r="D362" s="6"/>
      <c r="E362" s="11"/>
      <c r="F362" s="11"/>
      <c r="G362" s="11"/>
      <c r="H362" s="11"/>
      <c r="I362" s="11"/>
      <c r="J362" s="11"/>
      <c r="K362" s="11"/>
      <c r="L362" s="11"/>
      <c r="M362" s="11"/>
    </row>
    <row r="363" spans="1:13" ht="14.25" customHeight="1" x14ac:dyDescent="0.2">
      <c r="A363" s="11"/>
      <c r="B363" s="11"/>
      <c r="C363" s="11"/>
      <c r="D363" s="6"/>
      <c r="E363" s="11"/>
      <c r="F363" s="11"/>
      <c r="G363" s="11"/>
      <c r="H363" s="11"/>
      <c r="I363" s="11"/>
      <c r="J363" s="11"/>
      <c r="K363" s="11"/>
      <c r="L363" s="11"/>
      <c r="M363" s="11"/>
    </row>
    <row r="364" spans="1:13" ht="14.25" customHeight="1" x14ac:dyDescent="0.2">
      <c r="A364" s="11"/>
      <c r="B364" s="11"/>
      <c r="C364" s="11"/>
      <c r="D364" s="6"/>
      <c r="E364" s="11"/>
      <c r="F364" s="11"/>
      <c r="G364" s="11"/>
      <c r="H364" s="11"/>
      <c r="I364" s="11"/>
      <c r="J364" s="11"/>
      <c r="K364" s="11"/>
      <c r="L364" s="11"/>
      <c r="M364" s="11"/>
    </row>
    <row r="365" spans="1:13" ht="14.25" customHeight="1" x14ac:dyDescent="0.2">
      <c r="A365" s="11"/>
      <c r="B365" s="11"/>
      <c r="C365" s="11"/>
      <c r="D365" s="6"/>
      <c r="E365" s="11"/>
      <c r="F365" s="11"/>
      <c r="G365" s="11"/>
      <c r="H365" s="11"/>
      <c r="I365" s="11"/>
      <c r="J365" s="11"/>
      <c r="K365" s="11"/>
      <c r="L365" s="11"/>
      <c r="M365" s="11"/>
    </row>
    <row r="366" spans="1:13" ht="14.25" customHeight="1" x14ac:dyDescent="0.2">
      <c r="A366" s="11"/>
      <c r="B366" s="11"/>
      <c r="C366" s="11"/>
      <c r="D366" s="6"/>
      <c r="E366" s="11"/>
      <c r="F366" s="11"/>
      <c r="G366" s="11"/>
      <c r="H366" s="11"/>
      <c r="I366" s="11"/>
      <c r="J366" s="11"/>
      <c r="K366" s="11"/>
      <c r="L366" s="11"/>
      <c r="M366" s="11"/>
    </row>
    <row r="367" spans="1:13" ht="14.25" customHeight="1" x14ac:dyDescent="0.2">
      <c r="A367" s="11"/>
      <c r="B367" s="11"/>
      <c r="C367" s="11"/>
      <c r="D367" s="6"/>
      <c r="E367" s="11"/>
      <c r="F367" s="11"/>
      <c r="G367" s="11"/>
      <c r="H367" s="11"/>
      <c r="I367" s="11"/>
      <c r="J367" s="11"/>
      <c r="K367" s="11"/>
      <c r="L367" s="11"/>
      <c r="M367" s="11"/>
    </row>
    <row r="368" spans="1:13" ht="14.25" customHeight="1" x14ac:dyDescent="0.2">
      <c r="A368" s="11"/>
      <c r="B368" s="11"/>
      <c r="C368" s="11"/>
      <c r="D368" s="6"/>
      <c r="E368" s="11"/>
      <c r="F368" s="11"/>
      <c r="G368" s="11"/>
      <c r="H368" s="11"/>
      <c r="I368" s="11"/>
      <c r="J368" s="11"/>
      <c r="K368" s="11"/>
      <c r="L368" s="11"/>
      <c r="M368" s="11"/>
    </row>
    <row r="369" spans="1:13" ht="14.25" customHeight="1" x14ac:dyDescent="0.2">
      <c r="A369" s="11"/>
      <c r="B369" s="11"/>
      <c r="C369" s="11"/>
      <c r="D369" s="6"/>
      <c r="E369" s="11"/>
      <c r="F369" s="11"/>
      <c r="G369" s="11"/>
      <c r="H369" s="11"/>
      <c r="I369" s="11"/>
      <c r="J369" s="11"/>
      <c r="K369" s="11"/>
      <c r="L369" s="11"/>
      <c r="M369" s="11"/>
    </row>
    <row r="370" spans="1:13" ht="14.25" customHeight="1" x14ac:dyDescent="0.2">
      <c r="A370" s="11"/>
      <c r="B370" s="11"/>
      <c r="C370" s="11"/>
      <c r="D370" s="6"/>
      <c r="E370" s="11"/>
      <c r="F370" s="11"/>
      <c r="G370" s="11"/>
      <c r="H370" s="11"/>
      <c r="I370" s="11"/>
      <c r="J370" s="11"/>
      <c r="K370" s="11"/>
      <c r="L370" s="11"/>
      <c r="M370" s="11"/>
    </row>
    <row r="371" spans="1:13" ht="14.25" customHeight="1" x14ac:dyDescent="0.2">
      <c r="A371" s="11"/>
      <c r="B371" s="11"/>
      <c r="C371" s="11"/>
      <c r="D371" s="6"/>
      <c r="E371" s="11"/>
      <c r="F371" s="11"/>
      <c r="G371" s="11"/>
      <c r="H371" s="11"/>
      <c r="I371" s="11"/>
      <c r="J371" s="11"/>
      <c r="K371" s="11"/>
      <c r="L371" s="11"/>
      <c r="M371" s="11"/>
    </row>
    <row r="372" spans="1:13" ht="14.25" customHeight="1" x14ac:dyDescent="0.2">
      <c r="A372" s="11"/>
      <c r="B372" s="11"/>
      <c r="C372" s="11"/>
      <c r="D372" s="6"/>
      <c r="E372" s="11"/>
      <c r="F372" s="11"/>
      <c r="G372" s="11"/>
      <c r="H372" s="11"/>
      <c r="I372" s="11"/>
      <c r="J372" s="11"/>
      <c r="K372" s="11"/>
      <c r="L372" s="11"/>
      <c r="M372" s="11"/>
    </row>
    <row r="373" spans="1:13" ht="14.25" customHeight="1" x14ac:dyDescent="0.2">
      <c r="A373" s="11"/>
      <c r="B373" s="11"/>
      <c r="C373" s="11"/>
      <c r="D373" s="6"/>
      <c r="E373" s="11"/>
      <c r="F373" s="11"/>
      <c r="G373" s="11"/>
      <c r="H373" s="11"/>
      <c r="I373" s="11"/>
      <c r="J373" s="11"/>
      <c r="K373" s="11"/>
      <c r="L373" s="11"/>
      <c r="M373" s="11"/>
    </row>
    <row r="374" spans="1:13" ht="14.25" customHeight="1" x14ac:dyDescent="0.2">
      <c r="A374" s="11"/>
      <c r="B374" s="11"/>
      <c r="C374" s="11"/>
      <c r="D374" s="6"/>
      <c r="E374" s="11"/>
      <c r="F374" s="11"/>
      <c r="G374" s="11"/>
      <c r="H374" s="11"/>
      <c r="I374" s="11"/>
      <c r="J374" s="11"/>
      <c r="K374" s="11"/>
      <c r="L374" s="11"/>
      <c r="M374" s="11"/>
    </row>
    <row r="375" spans="1:13" ht="14.25" customHeight="1" x14ac:dyDescent="0.2">
      <c r="A375" s="11"/>
      <c r="B375" s="11"/>
      <c r="C375" s="11"/>
      <c r="D375" s="6"/>
      <c r="E375" s="11"/>
      <c r="F375" s="11"/>
      <c r="G375" s="11"/>
      <c r="H375" s="11"/>
      <c r="I375" s="11"/>
      <c r="J375" s="11"/>
      <c r="K375" s="11"/>
      <c r="L375" s="11"/>
      <c r="M375" s="11"/>
    </row>
    <row r="376" spans="1:13" ht="14.25" customHeight="1" x14ac:dyDescent="0.2">
      <c r="A376" s="11"/>
      <c r="B376" s="11"/>
      <c r="C376" s="11"/>
      <c r="D376" s="6"/>
      <c r="E376" s="11"/>
      <c r="F376" s="11"/>
      <c r="G376" s="11"/>
      <c r="H376" s="11"/>
      <c r="I376" s="11"/>
      <c r="J376" s="11"/>
      <c r="K376" s="11"/>
      <c r="L376" s="11"/>
      <c r="M376" s="11"/>
    </row>
    <row r="377" spans="1:13" ht="14.25" customHeight="1" x14ac:dyDescent="0.2">
      <c r="A377" s="11"/>
      <c r="B377" s="11"/>
      <c r="C377" s="11"/>
      <c r="D377" s="6"/>
      <c r="E377" s="11"/>
      <c r="F377" s="11"/>
      <c r="G377" s="11"/>
      <c r="H377" s="11"/>
      <c r="I377" s="11"/>
      <c r="J377" s="11"/>
      <c r="K377" s="11"/>
      <c r="L377" s="11"/>
      <c r="M377" s="11"/>
    </row>
    <row r="378" spans="1:13" ht="14.25" customHeight="1" x14ac:dyDescent="0.2">
      <c r="A378" s="11"/>
      <c r="B378" s="11"/>
      <c r="C378" s="11"/>
      <c r="D378" s="6"/>
      <c r="E378" s="11"/>
      <c r="F378" s="11"/>
      <c r="G378" s="11"/>
      <c r="H378" s="11"/>
      <c r="I378" s="11"/>
      <c r="J378" s="11"/>
      <c r="K378" s="11"/>
      <c r="L378" s="11"/>
      <c r="M378" s="11"/>
    </row>
    <row r="379" spans="1:13" ht="14.25" customHeight="1" x14ac:dyDescent="0.2">
      <c r="A379" s="11"/>
      <c r="B379" s="11"/>
      <c r="C379" s="11"/>
      <c r="D379" s="6"/>
      <c r="E379" s="11"/>
      <c r="F379" s="11"/>
      <c r="G379" s="11"/>
      <c r="H379" s="11"/>
      <c r="I379" s="11"/>
      <c r="J379" s="11"/>
      <c r="K379" s="11"/>
      <c r="L379" s="11"/>
      <c r="M379" s="11"/>
    </row>
    <row r="380" spans="1:13" ht="14.25" customHeight="1" x14ac:dyDescent="0.2">
      <c r="A380" s="11"/>
      <c r="B380" s="11"/>
      <c r="C380" s="11"/>
      <c r="D380" s="6"/>
      <c r="E380" s="11"/>
      <c r="F380" s="11"/>
      <c r="G380" s="11"/>
      <c r="H380" s="11"/>
      <c r="I380" s="11"/>
      <c r="J380" s="11"/>
      <c r="K380" s="11"/>
      <c r="L380" s="11"/>
      <c r="M380" s="11"/>
    </row>
    <row r="381" spans="1:13" ht="14.25" customHeight="1" x14ac:dyDescent="0.2">
      <c r="A381" s="11"/>
      <c r="B381" s="11"/>
      <c r="C381" s="11"/>
      <c r="D381" s="6"/>
      <c r="E381" s="11"/>
      <c r="F381" s="11"/>
      <c r="G381" s="11"/>
      <c r="H381" s="11"/>
      <c r="I381" s="11"/>
      <c r="J381" s="11"/>
      <c r="K381" s="11"/>
      <c r="L381" s="11"/>
      <c r="M381" s="11"/>
    </row>
    <row r="382" spans="1:13" ht="14.25" customHeight="1" x14ac:dyDescent="0.2">
      <c r="A382" s="11"/>
      <c r="B382" s="11"/>
      <c r="C382" s="11"/>
      <c r="D382" s="6"/>
      <c r="E382" s="11"/>
      <c r="F382" s="11"/>
      <c r="G382" s="11"/>
      <c r="H382" s="11"/>
      <c r="I382" s="11"/>
      <c r="J382" s="11"/>
      <c r="K382" s="11"/>
      <c r="L382" s="11"/>
      <c r="M382" s="11"/>
    </row>
    <row r="383" spans="1:13" ht="14.25" customHeight="1" x14ac:dyDescent="0.2">
      <c r="A383" s="11"/>
      <c r="B383" s="11"/>
      <c r="C383" s="11"/>
      <c r="D383" s="6"/>
      <c r="E383" s="11"/>
      <c r="F383" s="11"/>
      <c r="G383" s="11"/>
      <c r="H383" s="11"/>
      <c r="I383" s="11"/>
      <c r="J383" s="11"/>
      <c r="K383" s="11"/>
      <c r="L383" s="11"/>
      <c r="M383" s="11"/>
    </row>
    <row r="384" spans="1:13" ht="14.25" customHeight="1" x14ac:dyDescent="0.2">
      <c r="A384" s="11"/>
      <c r="B384" s="11"/>
      <c r="C384" s="11"/>
      <c r="D384" s="6"/>
      <c r="E384" s="11"/>
      <c r="F384" s="11"/>
      <c r="G384" s="11"/>
      <c r="H384" s="11"/>
      <c r="I384" s="11"/>
      <c r="J384" s="11"/>
      <c r="K384" s="11"/>
      <c r="L384" s="11"/>
      <c r="M384" s="11"/>
    </row>
    <row r="385" spans="1:13" ht="14.25" customHeight="1" x14ac:dyDescent="0.2">
      <c r="A385" s="11"/>
      <c r="B385" s="11"/>
      <c r="C385" s="11"/>
      <c r="D385" s="6"/>
      <c r="E385" s="11"/>
      <c r="F385" s="11"/>
      <c r="G385" s="11"/>
      <c r="H385" s="11"/>
      <c r="I385" s="11"/>
      <c r="J385" s="11"/>
      <c r="K385" s="11"/>
      <c r="L385" s="11"/>
      <c r="M385" s="11"/>
    </row>
    <row r="386" spans="1:13" ht="14.25" customHeight="1" x14ac:dyDescent="0.2">
      <c r="A386" s="11"/>
      <c r="B386" s="11"/>
      <c r="C386" s="11"/>
      <c r="D386" s="6"/>
      <c r="E386" s="11"/>
      <c r="F386" s="11"/>
      <c r="G386" s="11"/>
      <c r="H386" s="11"/>
      <c r="I386" s="11"/>
      <c r="J386" s="11"/>
      <c r="K386" s="11"/>
      <c r="L386" s="11"/>
      <c r="M386" s="11"/>
    </row>
    <row r="387" spans="1:13" ht="14.25" customHeight="1" x14ac:dyDescent="0.2">
      <c r="A387" s="11"/>
      <c r="B387" s="11"/>
      <c r="C387" s="11"/>
      <c r="D387" s="6"/>
      <c r="E387" s="11"/>
      <c r="F387" s="11"/>
      <c r="G387" s="11"/>
      <c r="H387" s="11"/>
      <c r="I387" s="11"/>
      <c r="J387" s="11"/>
      <c r="K387" s="11"/>
      <c r="L387" s="11"/>
      <c r="M387" s="11"/>
    </row>
    <row r="388" spans="1:13" ht="14.25" customHeight="1" x14ac:dyDescent="0.2">
      <c r="A388" s="11"/>
      <c r="B388" s="11"/>
      <c r="C388" s="11"/>
      <c r="D388" s="6"/>
      <c r="E388" s="11"/>
      <c r="F388" s="11"/>
      <c r="G388" s="11"/>
      <c r="H388" s="11"/>
      <c r="I388" s="11"/>
      <c r="J388" s="11"/>
      <c r="K388" s="11"/>
      <c r="L388" s="11"/>
      <c r="M388" s="11"/>
    </row>
    <row r="389" spans="1:13" ht="14.25" customHeight="1" x14ac:dyDescent="0.2">
      <c r="A389" s="11"/>
      <c r="B389" s="11"/>
      <c r="C389" s="11"/>
      <c r="D389" s="6"/>
      <c r="E389" s="11"/>
      <c r="F389" s="11"/>
      <c r="G389" s="11"/>
      <c r="H389" s="11"/>
      <c r="I389" s="11"/>
      <c r="J389" s="11"/>
      <c r="K389" s="11"/>
      <c r="L389" s="11"/>
      <c r="M389" s="11"/>
    </row>
    <row r="390" spans="1:13" ht="14.25" customHeight="1" x14ac:dyDescent="0.2">
      <c r="A390" s="11"/>
      <c r="B390" s="11"/>
      <c r="C390" s="11"/>
      <c r="D390" s="6"/>
      <c r="E390" s="11"/>
      <c r="F390" s="11"/>
      <c r="G390" s="11"/>
      <c r="H390" s="11"/>
      <c r="I390" s="11"/>
      <c r="J390" s="11"/>
      <c r="K390" s="11"/>
      <c r="L390" s="11"/>
      <c r="M390" s="11"/>
    </row>
    <row r="391" spans="1:13" ht="14.25" customHeight="1" x14ac:dyDescent="0.2">
      <c r="A391" s="11"/>
      <c r="B391" s="11"/>
      <c r="C391" s="11"/>
      <c r="D391" s="6"/>
      <c r="E391" s="11"/>
      <c r="F391" s="11"/>
      <c r="G391" s="11"/>
      <c r="H391" s="11"/>
      <c r="I391" s="11"/>
      <c r="J391" s="11"/>
      <c r="K391" s="11"/>
      <c r="L391" s="11"/>
      <c r="M391" s="11"/>
    </row>
    <row r="392" spans="1:13" ht="14.25" customHeight="1" x14ac:dyDescent="0.2">
      <c r="A392" s="11"/>
      <c r="B392" s="11"/>
      <c r="C392" s="11"/>
      <c r="D392" s="6"/>
      <c r="E392" s="11"/>
      <c r="F392" s="11"/>
      <c r="G392" s="11"/>
      <c r="H392" s="11"/>
      <c r="I392" s="11"/>
      <c r="J392" s="11"/>
      <c r="K392" s="11"/>
      <c r="L392" s="11"/>
      <c r="M392" s="11"/>
    </row>
    <row r="393" spans="1:13" ht="14.25" customHeight="1" x14ac:dyDescent="0.2">
      <c r="A393" s="11"/>
      <c r="B393" s="11"/>
      <c r="C393" s="11"/>
      <c r="D393" s="6"/>
      <c r="E393" s="11"/>
      <c r="F393" s="11"/>
      <c r="G393" s="11"/>
      <c r="H393" s="11"/>
      <c r="I393" s="11"/>
      <c r="J393" s="11"/>
      <c r="K393" s="11"/>
      <c r="L393" s="11"/>
      <c r="M393" s="11"/>
    </row>
    <row r="394" spans="1:13" ht="14.25" customHeight="1" x14ac:dyDescent="0.2">
      <c r="A394" s="11"/>
      <c r="B394" s="11"/>
      <c r="C394" s="11"/>
      <c r="D394" s="6"/>
      <c r="E394" s="11"/>
      <c r="F394" s="11"/>
      <c r="G394" s="11"/>
      <c r="H394" s="11"/>
      <c r="I394" s="11"/>
      <c r="J394" s="11"/>
      <c r="K394" s="11"/>
      <c r="L394" s="11"/>
      <c r="M394" s="11"/>
    </row>
    <row r="395" spans="1:13" ht="14.25" customHeight="1" x14ac:dyDescent="0.2">
      <c r="A395" s="11"/>
      <c r="B395" s="11"/>
      <c r="C395" s="11"/>
      <c r="D395" s="6"/>
      <c r="E395" s="11"/>
      <c r="F395" s="11"/>
      <c r="G395" s="11"/>
      <c r="H395" s="11"/>
      <c r="I395" s="11"/>
      <c r="J395" s="11"/>
      <c r="K395" s="11"/>
      <c r="L395" s="11"/>
      <c r="M395" s="11"/>
    </row>
    <row r="396" spans="1:13" ht="14.25" customHeight="1" x14ac:dyDescent="0.2">
      <c r="A396" s="11"/>
      <c r="B396" s="11"/>
      <c r="C396" s="11"/>
      <c r="D396" s="6"/>
      <c r="E396" s="11"/>
      <c r="F396" s="11"/>
      <c r="G396" s="11"/>
      <c r="H396" s="11"/>
      <c r="I396" s="11"/>
      <c r="J396" s="11"/>
      <c r="K396" s="11"/>
      <c r="L396" s="11"/>
      <c r="M396" s="11"/>
    </row>
    <row r="397" spans="1:13" ht="14.25" customHeight="1" x14ac:dyDescent="0.2">
      <c r="A397" s="11"/>
      <c r="B397" s="11"/>
      <c r="C397" s="11"/>
      <c r="D397" s="6"/>
      <c r="E397" s="11"/>
      <c r="F397" s="11"/>
      <c r="G397" s="11"/>
      <c r="H397" s="11"/>
      <c r="I397" s="11"/>
      <c r="J397" s="11"/>
      <c r="K397" s="11"/>
      <c r="L397" s="11"/>
      <c r="M397" s="11"/>
    </row>
    <row r="398" spans="1:13" ht="14.25" customHeight="1" x14ac:dyDescent="0.2">
      <c r="A398" s="11"/>
      <c r="B398" s="11"/>
      <c r="C398" s="11"/>
      <c r="D398" s="6"/>
      <c r="E398" s="11"/>
      <c r="F398" s="11"/>
      <c r="G398" s="11"/>
      <c r="H398" s="11"/>
      <c r="I398" s="11"/>
      <c r="J398" s="11"/>
      <c r="K398" s="11"/>
      <c r="L398" s="11"/>
      <c r="M398" s="11"/>
    </row>
    <row r="399" spans="1:13" ht="14.25" customHeight="1" x14ac:dyDescent="0.2">
      <c r="A399" s="11"/>
      <c r="B399" s="11"/>
      <c r="C399" s="11"/>
      <c r="D399" s="6"/>
      <c r="E399" s="11"/>
      <c r="F399" s="11"/>
      <c r="G399" s="11"/>
      <c r="H399" s="11"/>
      <c r="I399" s="11"/>
      <c r="J399" s="11"/>
      <c r="K399" s="11"/>
      <c r="L399" s="11"/>
      <c r="M399" s="11"/>
    </row>
    <row r="400" spans="1:13" ht="14.25" customHeight="1" x14ac:dyDescent="0.2">
      <c r="A400" s="11"/>
      <c r="B400" s="11"/>
      <c r="C400" s="11"/>
      <c r="D400" s="6"/>
      <c r="E400" s="11"/>
      <c r="F400" s="11"/>
      <c r="G400" s="11"/>
      <c r="H400" s="11"/>
      <c r="I400" s="11"/>
      <c r="J400" s="11"/>
      <c r="K400" s="11"/>
      <c r="L400" s="11"/>
      <c r="M400" s="11"/>
    </row>
    <row r="401" spans="1:13" ht="14.25" customHeight="1" x14ac:dyDescent="0.2">
      <c r="A401" s="11"/>
      <c r="B401" s="11"/>
      <c r="C401" s="11"/>
      <c r="D401" s="6"/>
      <c r="E401" s="11"/>
      <c r="F401" s="11"/>
      <c r="G401" s="11"/>
      <c r="H401" s="11"/>
      <c r="I401" s="11"/>
      <c r="J401" s="11"/>
      <c r="K401" s="11"/>
      <c r="L401" s="11"/>
      <c r="M401" s="11"/>
    </row>
    <row r="402" spans="1:13" ht="14.25" customHeight="1" x14ac:dyDescent="0.2">
      <c r="A402" s="11"/>
      <c r="B402" s="11"/>
      <c r="C402" s="11"/>
      <c r="D402" s="6"/>
      <c r="E402" s="11"/>
      <c r="F402" s="11"/>
      <c r="G402" s="11"/>
      <c r="H402" s="11"/>
      <c r="I402" s="11"/>
      <c r="J402" s="11"/>
      <c r="K402" s="11"/>
      <c r="L402" s="11"/>
      <c r="M402" s="11"/>
    </row>
    <row r="403" spans="1:13" ht="14.25" customHeight="1" x14ac:dyDescent="0.2">
      <c r="A403" s="11"/>
      <c r="B403" s="11"/>
      <c r="C403" s="11"/>
      <c r="D403" s="6"/>
      <c r="E403" s="11"/>
      <c r="F403" s="11"/>
      <c r="G403" s="11"/>
      <c r="H403" s="11"/>
      <c r="I403" s="11"/>
      <c r="J403" s="11"/>
      <c r="K403" s="11"/>
      <c r="L403" s="11"/>
      <c r="M403" s="11"/>
    </row>
    <row r="404" spans="1:13" ht="14.25" customHeight="1" x14ac:dyDescent="0.2">
      <c r="A404" s="11"/>
      <c r="B404" s="11"/>
      <c r="C404" s="11"/>
      <c r="D404" s="6"/>
      <c r="E404" s="11"/>
      <c r="F404" s="11"/>
      <c r="G404" s="11"/>
      <c r="H404" s="11"/>
      <c r="I404" s="11"/>
      <c r="J404" s="11"/>
      <c r="K404" s="11"/>
      <c r="L404" s="11"/>
      <c r="M404" s="11"/>
    </row>
    <row r="405" spans="1:13" ht="14.25" customHeight="1" x14ac:dyDescent="0.2">
      <c r="A405" s="11"/>
      <c r="B405" s="11"/>
      <c r="C405" s="11"/>
      <c r="D405" s="6"/>
      <c r="E405" s="11"/>
      <c r="F405" s="11"/>
      <c r="G405" s="11"/>
      <c r="H405" s="11"/>
      <c r="I405" s="11"/>
      <c r="J405" s="11"/>
      <c r="K405" s="11"/>
      <c r="L405" s="11"/>
      <c r="M405" s="11"/>
    </row>
    <row r="406" spans="1:13" ht="14.25" customHeight="1" x14ac:dyDescent="0.2">
      <c r="A406" s="11"/>
      <c r="B406" s="11"/>
      <c r="C406" s="11"/>
      <c r="D406" s="6"/>
      <c r="E406" s="11"/>
      <c r="F406" s="11"/>
      <c r="G406" s="11"/>
      <c r="H406" s="11"/>
      <c r="I406" s="11"/>
      <c r="J406" s="11"/>
      <c r="K406" s="11"/>
      <c r="L406" s="11"/>
      <c r="M406" s="11"/>
    </row>
    <row r="407" spans="1:13" ht="14.25" customHeight="1" x14ac:dyDescent="0.2">
      <c r="A407" s="11"/>
      <c r="B407" s="11"/>
      <c r="C407" s="11"/>
      <c r="D407" s="6"/>
      <c r="E407" s="11"/>
      <c r="F407" s="11"/>
      <c r="G407" s="11"/>
      <c r="H407" s="11"/>
      <c r="I407" s="11"/>
      <c r="J407" s="11"/>
      <c r="K407" s="11"/>
      <c r="L407" s="11"/>
      <c r="M407" s="11"/>
    </row>
    <row r="408" spans="1:13" ht="14.25" customHeight="1" x14ac:dyDescent="0.2">
      <c r="A408" s="11"/>
      <c r="B408" s="11"/>
      <c r="C408" s="11"/>
      <c r="D408" s="6"/>
      <c r="E408" s="11"/>
      <c r="F408" s="11"/>
      <c r="G408" s="11"/>
      <c r="H408" s="11"/>
      <c r="I408" s="11"/>
      <c r="J408" s="11"/>
      <c r="K408" s="11"/>
      <c r="L408" s="11"/>
      <c r="M408" s="11"/>
    </row>
    <row r="409" spans="1:13" ht="14.25" customHeight="1" x14ac:dyDescent="0.2">
      <c r="A409" s="11"/>
      <c r="B409" s="11"/>
      <c r="C409" s="11"/>
      <c r="D409" s="6"/>
      <c r="E409" s="11"/>
      <c r="F409" s="11"/>
      <c r="G409" s="11"/>
      <c r="H409" s="11"/>
      <c r="I409" s="11"/>
      <c r="J409" s="11"/>
      <c r="K409" s="11"/>
      <c r="L409" s="11"/>
      <c r="M409" s="11"/>
    </row>
    <row r="410" spans="1:13" ht="14.25" customHeight="1" x14ac:dyDescent="0.2">
      <c r="A410" s="11"/>
      <c r="B410" s="11"/>
      <c r="C410" s="11"/>
      <c r="D410" s="6"/>
      <c r="E410" s="11"/>
      <c r="F410" s="11"/>
      <c r="G410" s="11"/>
      <c r="H410" s="11"/>
      <c r="I410" s="11"/>
      <c r="J410" s="11"/>
      <c r="K410" s="11"/>
      <c r="L410" s="11"/>
      <c r="M410" s="11"/>
    </row>
    <row r="411" spans="1:13" ht="14.25" customHeight="1" x14ac:dyDescent="0.2">
      <c r="A411" s="11"/>
      <c r="B411" s="11"/>
      <c r="C411" s="11"/>
      <c r="D411" s="6"/>
      <c r="E411" s="11"/>
      <c r="F411" s="11"/>
      <c r="G411" s="11"/>
      <c r="H411" s="11"/>
      <c r="I411" s="11"/>
      <c r="J411" s="11"/>
      <c r="K411" s="11"/>
      <c r="L411" s="11"/>
      <c r="M411" s="11"/>
    </row>
    <row r="412" spans="1:13" ht="14.25" customHeight="1" x14ac:dyDescent="0.2">
      <c r="A412" s="11"/>
      <c r="B412" s="11"/>
      <c r="C412" s="11"/>
      <c r="D412" s="6"/>
      <c r="E412" s="11"/>
      <c r="F412" s="11"/>
      <c r="G412" s="11"/>
      <c r="H412" s="11"/>
      <c r="I412" s="11"/>
      <c r="J412" s="11"/>
      <c r="K412" s="11"/>
      <c r="L412" s="11"/>
      <c r="M412" s="11"/>
    </row>
    <row r="413" spans="1:13" ht="14.25" customHeight="1" x14ac:dyDescent="0.2">
      <c r="A413" s="11"/>
      <c r="B413" s="11"/>
      <c r="C413" s="11"/>
      <c r="D413" s="6"/>
      <c r="E413" s="11"/>
      <c r="F413" s="11"/>
      <c r="G413" s="11"/>
      <c r="H413" s="11"/>
      <c r="I413" s="11"/>
      <c r="J413" s="11"/>
      <c r="K413" s="11"/>
      <c r="L413" s="11"/>
      <c r="M413" s="11"/>
    </row>
    <row r="414" spans="1:13" ht="14.25" customHeight="1" x14ac:dyDescent="0.2">
      <c r="A414" s="11"/>
      <c r="B414" s="11"/>
      <c r="C414" s="11"/>
      <c r="D414" s="6"/>
      <c r="E414" s="11"/>
      <c r="F414" s="11"/>
      <c r="G414" s="11"/>
      <c r="H414" s="11"/>
      <c r="I414" s="11"/>
      <c r="J414" s="11"/>
      <c r="K414" s="11"/>
      <c r="L414" s="11"/>
      <c r="M414" s="11"/>
    </row>
    <row r="415" spans="1:13" ht="14.25" customHeight="1" x14ac:dyDescent="0.2">
      <c r="A415" s="11"/>
      <c r="B415" s="11"/>
      <c r="C415" s="11"/>
      <c r="D415" s="6"/>
      <c r="E415" s="11"/>
      <c r="F415" s="11"/>
      <c r="G415" s="11"/>
      <c r="H415" s="11"/>
      <c r="I415" s="11"/>
      <c r="J415" s="11"/>
      <c r="K415" s="11"/>
      <c r="L415" s="11"/>
      <c r="M415" s="11"/>
    </row>
    <row r="416" spans="1:13" ht="14.25" customHeight="1" x14ac:dyDescent="0.2">
      <c r="A416" s="11"/>
      <c r="B416" s="11"/>
      <c r="C416" s="11"/>
      <c r="D416" s="6"/>
      <c r="E416" s="11"/>
      <c r="F416" s="11"/>
      <c r="G416" s="11"/>
      <c r="H416" s="11"/>
      <c r="I416" s="11"/>
      <c r="J416" s="11"/>
      <c r="K416" s="11"/>
      <c r="L416" s="11"/>
      <c r="M416" s="11"/>
    </row>
    <row r="417" spans="1:13" ht="14.25" customHeight="1" x14ac:dyDescent="0.2">
      <c r="A417" s="11"/>
      <c r="B417" s="11"/>
      <c r="C417" s="11"/>
      <c r="D417" s="6"/>
      <c r="E417" s="11"/>
      <c r="F417" s="11"/>
      <c r="G417" s="11"/>
      <c r="H417" s="11"/>
      <c r="I417" s="11"/>
      <c r="J417" s="11"/>
      <c r="K417" s="11"/>
      <c r="L417" s="11"/>
      <c r="M417" s="11"/>
    </row>
    <row r="418" spans="1:13" ht="14.25" customHeight="1" x14ac:dyDescent="0.2">
      <c r="A418" s="11"/>
      <c r="B418" s="11"/>
      <c r="C418" s="11"/>
      <c r="D418" s="6"/>
      <c r="E418" s="11"/>
      <c r="F418" s="11"/>
      <c r="G418" s="11"/>
      <c r="H418" s="11"/>
      <c r="I418" s="11"/>
      <c r="J418" s="11"/>
      <c r="K418" s="11"/>
      <c r="L418" s="11"/>
      <c r="M418" s="11"/>
    </row>
    <row r="419" spans="1:13" ht="14.25" customHeight="1" x14ac:dyDescent="0.2">
      <c r="A419" s="11"/>
      <c r="B419" s="11"/>
      <c r="C419" s="11"/>
      <c r="D419" s="6"/>
      <c r="E419" s="11"/>
      <c r="F419" s="11"/>
      <c r="G419" s="11"/>
      <c r="H419" s="11"/>
      <c r="I419" s="11"/>
      <c r="J419" s="11"/>
      <c r="K419" s="11"/>
      <c r="L419" s="11"/>
      <c r="M419" s="11"/>
    </row>
    <row r="420" spans="1:13" ht="14.25" customHeight="1" x14ac:dyDescent="0.2">
      <c r="A420" s="11"/>
      <c r="B420" s="11"/>
      <c r="C420" s="11"/>
      <c r="D420" s="6"/>
      <c r="E420" s="11"/>
      <c r="F420" s="11"/>
      <c r="G420" s="11"/>
      <c r="H420" s="11"/>
      <c r="I420" s="11"/>
      <c r="J420" s="11"/>
      <c r="K420" s="11"/>
      <c r="L420" s="11"/>
      <c r="M420" s="11"/>
    </row>
    <row r="421" spans="1:13" ht="14.25" customHeight="1" x14ac:dyDescent="0.2">
      <c r="A421" s="11"/>
      <c r="B421" s="11"/>
      <c r="C421" s="11"/>
      <c r="D421" s="6"/>
      <c r="E421" s="11"/>
      <c r="F421" s="11"/>
      <c r="G421" s="11"/>
      <c r="H421" s="11"/>
      <c r="I421" s="11"/>
      <c r="J421" s="11"/>
      <c r="K421" s="11"/>
      <c r="L421" s="11"/>
      <c r="M421" s="11"/>
    </row>
    <row r="422" spans="1:13" ht="14.25" customHeight="1" x14ac:dyDescent="0.2">
      <c r="A422" s="11"/>
      <c r="B422" s="11"/>
      <c r="C422" s="11"/>
      <c r="D422" s="6"/>
      <c r="E422" s="11"/>
      <c r="F422" s="11"/>
      <c r="G422" s="11"/>
      <c r="H422" s="11"/>
      <c r="I422" s="11"/>
      <c r="J422" s="11"/>
      <c r="K422" s="11"/>
      <c r="L422" s="11"/>
      <c r="M422" s="11"/>
    </row>
    <row r="423" spans="1:13" ht="14.25" customHeight="1" x14ac:dyDescent="0.2">
      <c r="A423" s="11"/>
      <c r="B423" s="11"/>
      <c r="C423" s="11"/>
      <c r="D423" s="6"/>
      <c r="E423" s="11"/>
      <c r="F423" s="11"/>
      <c r="G423" s="11"/>
      <c r="H423" s="11"/>
      <c r="I423" s="11"/>
      <c r="J423" s="11"/>
      <c r="K423" s="11"/>
      <c r="L423" s="11"/>
      <c r="M423" s="11"/>
    </row>
    <row r="424" spans="1:13" ht="14.25" customHeight="1" x14ac:dyDescent="0.2">
      <c r="A424" s="11"/>
      <c r="B424" s="11"/>
      <c r="C424" s="11"/>
      <c r="D424" s="6"/>
      <c r="E424" s="11"/>
      <c r="F424" s="11"/>
      <c r="G424" s="11"/>
      <c r="H424" s="11"/>
      <c r="I424" s="11"/>
      <c r="J424" s="11"/>
      <c r="K424" s="11"/>
      <c r="L424" s="11"/>
      <c r="M424" s="11"/>
    </row>
    <row r="425" spans="1:13" ht="14.25" customHeight="1" x14ac:dyDescent="0.2">
      <c r="A425" s="11"/>
      <c r="B425" s="11"/>
      <c r="C425" s="11"/>
      <c r="D425" s="6"/>
      <c r="E425" s="11"/>
      <c r="F425" s="11"/>
      <c r="G425" s="11"/>
      <c r="H425" s="11"/>
      <c r="I425" s="11"/>
      <c r="J425" s="11"/>
      <c r="K425" s="11"/>
      <c r="L425" s="11"/>
      <c r="M425" s="11"/>
    </row>
    <row r="426" spans="1:13" ht="14.25" customHeight="1" x14ac:dyDescent="0.2">
      <c r="A426" s="11"/>
      <c r="B426" s="11"/>
      <c r="C426" s="11"/>
      <c r="D426" s="6"/>
      <c r="E426" s="11"/>
      <c r="F426" s="11"/>
      <c r="G426" s="11"/>
      <c r="H426" s="11"/>
      <c r="I426" s="11"/>
      <c r="J426" s="11"/>
      <c r="K426" s="11"/>
      <c r="L426" s="11"/>
      <c r="M426" s="11"/>
    </row>
    <row r="427" spans="1:13" ht="14.25" customHeight="1" x14ac:dyDescent="0.2">
      <c r="A427" s="11"/>
      <c r="B427" s="11"/>
      <c r="C427" s="11"/>
      <c r="D427" s="6"/>
      <c r="E427" s="11"/>
      <c r="F427" s="11"/>
      <c r="G427" s="11"/>
      <c r="H427" s="11"/>
      <c r="I427" s="11"/>
      <c r="J427" s="11"/>
      <c r="K427" s="11"/>
      <c r="L427" s="11"/>
      <c r="M427" s="11"/>
    </row>
    <row r="428" spans="1:13" ht="14.25" customHeight="1" x14ac:dyDescent="0.2">
      <c r="A428" s="11"/>
      <c r="B428" s="11"/>
      <c r="C428" s="11"/>
      <c r="D428" s="6"/>
      <c r="E428" s="11"/>
      <c r="F428" s="11"/>
      <c r="G428" s="11"/>
      <c r="H428" s="11"/>
      <c r="I428" s="11"/>
      <c r="J428" s="11"/>
      <c r="K428" s="11"/>
      <c r="L428" s="11"/>
      <c r="M428" s="11"/>
    </row>
    <row r="429" spans="1:13" ht="14.25" customHeight="1" x14ac:dyDescent="0.2">
      <c r="A429" s="11"/>
      <c r="B429" s="11"/>
      <c r="C429" s="11"/>
      <c r="D429" s="6"/>
      <c r="E429" s="11"/>
      <c r="F429" s="11"/>
      <c r="G429" s="11"/>
      <c r="H429" s="11"/>
      <c r="I429" s="11"/>
      <c r="J429" s="11"/>
      <c r="K429" s="11"/>
      <c r="L429" s="11"/>
      <c r="M429" s="11"/>
    </row>
    <row r="430" spans="1:13" ht="14.25" customHeight="1" x14ac:dyDescent="0.2">
      <c r="A430" s="11"/>
      <c r="B430" s="11"/>
      <c r="C430" s="11"/>
      <c r="D430" s="6"/>
      <c r="E430" s="11"/>
      <c r="F430" s="11"/>
      <c r="G430" s="11"/>
      <c r="H430" s="11"/>
      <c r="I430" s="11"/>
      <c r="J430" s="11"/>
      <c r="K430" s="11"/>
      <c r="L430" s="11"/>
      <c r="M430" s="11"/>
    </row>
    <row r="431" spans="1:13" ht="14.25" customHeight="1" x14ac:dyDescent="0.2">
      <c r="A431" s="11"/>
      <c r="B431" s="11"/>
      <c r="C431" s="11"/>
      <c r="D431" s="6"/>
      <c r="E431" s="11"/>
      <c r="F431" s="11"/>
      <c r="G431" s="11"/>
      <c r="H431" s="11"/>
      <c r="I431" s="11"/>
      <c r="J431" s="11"/>
      <c r="K431" s="11"/>
      <c r="L431" s="11"/>
      <c r="M431" s="11"/>
    </row>
    <row r="432" spans="1:13" ht="14.25" customHeight="1" x14ac:dyDescent="0.2">
      <c r="A432" s="11"/>
      <c r="B432" s="11"/>
      <c r="C432" s="11"/>
      <c r="D432" s="6"/>
      <c r="E432" s="11"/>
      <c r="F432" s="11"/>
      <c r="G432" s="11"/>
      <c r="H432" s="11"/>
      <c r="I432" s="11"/>
      <c r="J432" s="11"/>
      <c r="K432" s="11"/>
      <c r="L432" s="11"/>
      <c r="M432" s="11"/>
    </row>
    <row r="433" spans="1:13" ht="14.25" customHeight="1" x14ac:dyDescent="0.2">
      <c r="A433" s="11"/>
      <c r="B433" s="11"/>
      <c r="C433" s="11"/>
      <c r="D433" s="6"/>
      <c r="E433" s="11"/>
      <c r="F433" s="11"/>
      <c r="G433" s="11"/>
      <c r="H433" s="11"/>
      <c r="I433" s="11"/>
      <c r="J433" s="11"/>
      <c r="K433" s="11"/>
      <c r="L433" s="11"/>
      <c r="M433" s="11"/>
    </row>
    <row r="434" spans="1:13" ht="14.25" customHeight="1" x14ac:dyDescent="0.2">
      <c r="A434" s="11"/>
      <c r="B434" s="11"/>
      <c r="C434" s="11"/>
      <c r="D434" s="6"/>
      <c r="E434" s="11"/>
      <c r="F434" s="11"/>
      <c r="G434" s="11"/>
      <c r="H434" s="11"/>
      <c r="I434" s="11"/>
      <c r="J434" s="11"/>
      <c r="K434" s="11"/>
      <c r="L434" s="11"/>
      <c r="M434" s="11"/>
    </row>
    <row r="435" spans="1:13" ht="14.25" customHeight="1" x14ac:dyDescent="0.2">
      <c r="A435" s="11"/>
      <c r="B435" s="11"/>
      <c r="C435" s="11"/>
      <c r="D435" s="6"/>
      <c r="E435" s="11"/>
      <c r="F435" s="11"/>
      <c r="G435" s="11"/>
      <c r="H435" s="11"/>
      <c r="I435" s="11"/>
      <c r="J435" s="11"/>
      <c r="K435" s="11"/>
      <c r="L435" s="11"/>
      <c r="M435" s="11"/>
    </row>
    <row r="436" spans="1:13" ht="14.25" customHeight="1" x14ac:dyDescent="0.2">
      <c r="A436" s="11"/>
      <c r="B436" s="11"/>
      <c r="C436" s="11"/>
      <c r="D436" s="6"/>
      <c r="E436" s="11"/>
      <c r="F436" s="11"/>
      <c r="G436" s="11"/>
      <c r="H436" s="11"/>
      <c r="I436" s="11"/>
      <c r="J436" s="11"/>
      <c r="K436" s="11"/>
      <c r="L436" s="11"/>
      <c r="M436" s="11"/>
    </row>
    <row r="437" spans="1:13" ht="14.25" customHeight="1" x14ac:dyDescent="0.2">
      <c r="A437" s="11"/>
      <c r="B437" s="11"/>
      <c r="C437" s="11"/>
      <c r="D437" s="6"/>
      <c r="E437" s="11"/>
      <c r="F437" s="11"/>
      <c r="G437" s="11"/>
      <c r="H437" s="11"/>
      <c r="I437" s="11"/>
      <c r="J437" s="11"/>
      <c r="K437" s="11"/>
      <c r="L437" s="11"/>
      <c r="M437" s="11"/>
    </row>
    <row r="438" spans="1:13" ht="14.25" customHeight="1" x14ac:dyDescent="0.2">
      <c r="A438" s="11"/>
      <c r="B438" s="11"/>
      <c r="C438" s="11"/>
      <c r="D438" s="6"/>
      <c r="E438" s="11"/>
      <c r="F438" s="11"/>
      <c r="G438" s="11"/>
      <c r="H438" s="11"/>
      <c r="I438" s="11"/>
      <c r="J438" s="11"/>
      <c r="K438" s="11"/>
      <c r="L438" s="11"/>
      <c r="M438" s="11"/>
    </row>
    <row r="439" spans="1:13" ht="14.25" customHeight="1" x14ac:dyDescent="0.2">
      <c r="A439" s="11"/>
      <c r="B439" s="11"/>
      <c r="C439" s="11"/>
      <c r="D439" s="6"/>
      <c r="E439" s="11"/>
      <c r="F439" s="11"/>
      <c r="G439" s="11"/>
      <c r="H439" s="11"/>
      <c r="I439" s="11"/>
      <c r="J439" s="11"/>
      <c r="K439" s="11"/>
      <c r="L439" s="11"/>
      <c r="M439" s="11"/>
    </row>
    <row r="440" spans="1:13" ht="14.25" customHeight="1" x14ac:dyDescent="0.2">
      <c r="A440" s="11"/>
      <c r="B440" s="11"/>
      <c r="C440" s="11"/>
      <c r="D440" s="6"/>
      <c r="E440" s="11"/>
      <c r="F440" s="11"/>
      <c r="G440" s="11"/>
      <c r="H440" s="11"/>
      <c r="I440" s="11"/>
      <c r="J440" s="11"/>
      <c r="K440" s="11"/>
      <c r="L440" s="11"/>
      <c r="M440" s="11"/>
    </row>
    <row r="441" spans="1:13" ht="14.25" customHeight="1" x14ac:dyDescent="0.2">
      <c r="A441" s="11"/>
      <c r="B441" s="11"/>
      <c r="C441" s="11"/>
      <c r="D441" s="6"/>
      <c r="E441" s="11"/>
      <c r="F441" s="11"/>
      <c r="G441" s="11"/>
      <c r="H441" s="11"/>
      <c r="I441" s="11"/>
      <c r="J441" s="11"/>
      <c r="K441" s="11"/>
      <c r="L441" s="11"/>
      <c r="M441" s="11"/>
    </row>
    <row r="442" spans="1:13" ht="14.25" customHeight="1" x14ac:dyDescent="0.2">
      <c r="A442" s="11"/>
      <c r="B442" s="11"/>
      <c r="C442" s="11"/>
      <c r="D442" s="6"/>
      <c r="E442" s="11"/>
      <c r="F442" s="11"/>
      <c r="G442" s="11"/>
      <c r="H442" s="11"/>
      <c r="I442" s="11"/>
      <c r="J442" s="11"/>
      <c r="K442" s="11"/>
      <c r="L442" s="11"/>
      <c r="M442" s="11"/>
    </row>
    <row r="443" spans="1:13" ht="14.25" customHeight="1" x14ac:dyDescent="0.2">
      <c r="A443" s="11"/>
      <c r="B443" s="11"/>
      <c r="C443" s="11"/>
      <c r="D443" s="6"/>
      <c r="E443" s="11"/>
      <c r="F443" s="11"/>
      <c r="G443" s="11"/>
      <c r="H443" s="11"/>
      <c r="I443" s="11"/>
      <c r="J443" s="11"/>
      <c r="K443" s="11"/>
      <c r="L443" s="11"/>
      <c r="M443" s="11"/>
    </row>
    <row r="444" spans="1:13" ht="14.25" customHeight="1" x14ac:dyDescent="0.2">
      <c r="A444" s="11"/>
      <c r="B444" s="11"/>
      <c r="C444" s="11"/>
      <c r="D444" s="6"/>
      <c r="E444" s="11"/>
      <c r="F444" s="11"/>
      <c r="G444" s="11"/>
      <c r="H444" s="11"/>
      <c r="I444" s="11"/>
      <c r="J444" s="11"/>
      <c r="K444" s="11"/>
      <c r="L444" s="11"/>
      <c r="M444" s="11"/>
    </row>
    <row r="445" spans="1:13" ht="14.25" customHeight="1" x14ac:dyDescent="0.2">
      <c r="A445" s="11"/>
      <c r="B445" s="11"/>
      <c r="C445" s="11"/>
      <c r="D445" s="6"/>
      <c r="E445" s="11"/>
      <c r="F445" s="11"/>
      <c r="G445" s="11"/>
      <c r="H445" s="11"/>
      <c r="I445" s="11"/>
      <c r="J445" s="11"/>
      <c r="K445" s="11"/>
      <c r="L445" s="11"/>
      <c r="M445" s="11"/>
    </row>
    <row r="446" spans="1:13" ht="14.25" customHeight="1" x14ac:dyDescent="0.2">
      <c r="A446" s="11"/>
      <c r="B446" s="11"/>
      <c r="C446" s="11"/>
      <c r="D446" s="6"/>
      <c r="E446" s="11"/>
      <c r="F446" s="11"/>
      <c r="G446" s="11"/>
      <c r="H446" s="11"/>
      <c r="I446" s="11"/>
      <c r="J446" s="11"/>
      <c r="K446" s="11"/>
      <c r="L446" s="11"/>
      <c r="M446" s="11"/>
    </row>
    <row r="447" spans="1:13" ht="14.25" customHeight="1" x14ac:dyDescent="0.2">
      <c r="A447" s="11"/>
      <c r="B447" s="11"/>
      <c r="C447" s="11"/>
      <c r="D447" s="6"/>
      <c r="E447" s="11"/>
      <c r="F447" s="11"/>
      <c r="G447" s="11"/>
      <c r="H447" s="11"/>
      <c r="I447" s="11"/>
      <c r="J447" s="11"/>
      <c r="K447" s="11"/>
      <c r="L447" s="11"/>
      <c r="M447" s="11"/>
    </row>
    <row r="448" spans="1:13" ht="14.25" customHeight="1" x14ac:dyDescent="0.2">
      <c r="A448" s="11"/>
      <c r="B448" s="11"/>
      <c r="C448" s="11"/>
      <c r="D448" s="6"/>
      <c r="E448" s="11"/>
      <c r="F448" s="11"/>
      <c r="G448" s="11"/>
      <c r="H448" s="11"/>
      <c r="I448" s="11"/>
      <c r="J448" s="11"/>
      <c r="K448" s="11"/>
      <c r="L448" s="11"/>
      <c r="M448" s="11"/>
    </row>
    <row r="449" spans="1:13" ht="14.25" customHeight="1" x14ac:dyDescent="0.2">
      <c r="A449" s="11"/>
      <c r="B449" s="11"/>
      <c r="C449" s="11"/>
      <c r="D449" s="6"/>
      <c r="E449" s="11"/>
      <c r="F449" s="11"/>
      <c r="G449" s="11"/>
      <c r="H449" s="11"/>
      <c r="I449" s="11"/>
      <c r="J449" s="11"/>
      <c r="K449" s="11"/>
      <c r="L449" s="11"/>
      <c r="M449" s="11"/>
    </row>
    <row r="450" spans="1:13" ht="14.25" customHeight="1" x14ac:dyDescent="0.2">
      <c r="A450" s="11"/>
      <c r="B450" s="11"/>
      <c r="C450" s="11"/>
      <c r="D450" s="6"/>
      <c r="E450" s="11"/>
      <c r="F450" s="11"/>
      <c r="G450" s="11"/>
      <c r="H450" s="11"/>
      <c r="I450" s="11"/>
      <c r="J450" s="11"/>
      <c r="K450" s="11"/>
      <c r="L450" s="11"/>
      <c r="M450" s="11"/>
    </row>
    <row r="451" spans="1:13" ht="14.25" customHeight="1" x14ac:dyDescent="0.2">
      <c r="A451" s="11"/>
      <c r="B451" s="11"/>
      <c r="C451" s="11"/>
      <c r="D451" s="6"/>
      <c r="E451" s="11"/>
      <c r="F451" s="11"/>
      <c r="G451" s="11"/>
      <c r="H451" s="11"/>
      <c r="I451" s="11"/>
      <c r="J451" s="11"/>
      <c r="K451" s="11"/>
      <c r="L451" s="11"/>
      <c r="M451" s="11"/>
    </row>
    <row r="452" spans="1:13" ht="14.25" customHeight="1" x14ac:dyDescent="0.2">
      <c r="A452" s="11"/>
      <c r="B452" s="11"/>
      <c r="C452" s="11"/>
      <c r="D452" s="6"/>
      <c r="E452" s="11"/>
      <c r="F452" s="11"/>
      <c r="G452" s="11"/>
      <c r="H452" s="11"/>
      <c r="I452" s="11"/>
      <c r="J452" s="11"/>
      <c r="K452" s="11"/>
      <c r="L452" s="11"/>
      <c r="M452" s="11"/>
    </row>
    <row r="453" spans="1:13" ht="14.25" customHeight="1" x14ac:dyDescent="0.2">
      <c r="A453" s="11"/>
      <c r="B453" s="11"/>
      <c r="C453" s="11"/>
      <c r="D453" s="6"/>
      <c r="E453" s="11"/>
      <c r="F453" s="11"/>
      <c r="G453" s="11"/>
      <c r="H453" s="11"/>
      <c r="I453" s="11"/>
      <c r="J453" s="11"/>
      <c r="K453" s="11"/>
      <c r="L453" s="11"/>
      <c r="M453" s="11"/>
    </row>
    <row r="454" spans="1:13" ht="14.25" customHeight="1" x14ac:dyDescent="0.2">
      <c r="A454" s="11"/>
      <c r="B454" s="11"/>
      <c r="C454" s="11"/>
      <c r="D454" s="6"/>
      <c r="E454" s="11"/>
      <c r="F454" s="11"/>
      <c r="G454" s="11"/>
      <c r="H454" s="11"/>
      <c r="I454" s="11"/>
      <c r="J454" s="11"/>
      <c r="K454" s="11"/>
      <c r="L454" s="11"/>
      <c r="M454" s="11"/>
    </row>
    <row r="455" spans="1:13" ht="14.25" customHeight="1" x14ac:dyDescent="0.2">
      <c r="A455" s="11"/>
      <c r="B455" s="11"/>
      <c r="C455" s="11"/>
      <c r="D455" s="6"/>
      <c r="E455" s="11"/>
      <c r="F455" s="11"/>
      <c r="G455" s="11"/>
      <c r="H455" s="11"/>
      <c r="I455" s="11"/>
      <c r="J455" s="11"/>
      <c r="K455" s="11"/>
      <c r="L455" s="11"/>
      <c r="M455" s="11"/>
    </row>
    <row r="456" spans="1:13" ht="14.25" customHeight="1" x14ac:dyDescent="0.2">
      <c r="A456" s="11"/>
      <c r="B456" s="11"/>
      <c r="C456" s="11"/>
      <c r="D456" s="6"/>
      <c r="E456" s="11"/>
      <c r="F456" s="11"/>
      <c r="G456" s="11"/>
      <c r="H456" s="11"/>
      <c r="I456" s="11"/>
      <c r="J456" s="11"/>
      <c r="K456" s="11"/>
      <c r="L456" s="11"/>
      <c r="M456" s="11"/>
    </row>
    <row r="457" spans="1:13" ht="14.25" customHeight="1" x14ac:dyDescent="0.2">
      <c r="A457" s="11"/>
      <c r="B457" s="11"/>
      <c r="C457" s="11"/>
      <c r="D457" s="6"/>
      <c r="E457" s="11"/>
      <c r="F457" s="11"/>
      <c r="G457" s="11"/>
      <c r="H457" s="11"/>
      <c r="I457" s="11"/>
      <c r="J457" s="11"/>
      <c r="K457" s="11"/>
      <c r="L457" s="11"/>
      <c r="M457" s="11"/>
    </row>
    <row r="458" spans="1:13" ht="14.25" customHeight="1" x14ac:dyDescent="0.2">
      <c r="A458" s="11"/>
      <c r="B458" s="11"/>
      <c r="C458" s="11"/>
      <c r="D458" s="6"/>
      <c r="E458" s="11"/>
      <c r="F458" s="11"/>
      <c r="G458" s="11"/>
      <c r="H458" s="11"/>
      <c r="I458" s="11"/>
      <c r="J458" s="11"/>
      <c r="K458" s="11"/>
      <c r="L458" s="11"/>
      <c r="M458" s="11"/>
    </row>
    <row r="459" spans="1:13" ht="14.25" customHeight="1" x14ac:dyDescent="0.2">
      <c r="A459" s="11"/>
      <c r="B459" s="11"/>
      <c r="C459" s="11"/>
      <c r="D459" s="6"/>
      <c r="E459" s="11"/>
      <c r="F459" s="11"/>
      <c r="G459" s="11"/>
      <c r="H459" s="11"/>
      <c r="I459" s="11"/>
      <c r="J459" s="11"/>
      <c r="K459" s="11"/>
      <c r="L459" s="11"/>
      <c r="M459" s="11"/>
    </row>
    <row r="460" spans="1:13" ht="14.25" customHeight="1" x14ac:dyDescent="0.2">
      <c r="A460" s="11"/>
      <c r="B460" s="11"/>
      <c r="C460" s="11"/>
      <c r="D460" s="6"/>
      <c r="E460" s="11"/>
      <c r="F460" s="11"/>
      <c r="G460" s="11"/>
      <c r="H460" s="11"/>
      <c r="I460" s="11"/>
      <c r="J460" s="11"/>
      <c r="K460" s="11"/>
      <c r="L460" s="11"/>
      <c r="M460" s="11"/>
    </row>
    <row r="461" spans="1:13" ht="14.25" customHeight="1" x14ac:dyDescent="0.2">
      <c r="A461" s="11"/>
      <c r="B461" s="11"/>
      <c r="C461" s="11"/>
      <c r="D461" s="6"/>
      <c r="E461" s="11"/>
      <c r="F461" s="11"/>
      <c r="G461" s="11"/>
      <c r="H461" s="11"/>
      <c r="I461" s="11"/>
      <c r="J461" s="11"/>
      <c r="K461" s="11"/>
      <c r="L461" s="11"/>
      <c r="M461" s="11"/>
    </row>
    <row r="462" spans="1:13" ht="14.25" customHeight="1" x14ac:dyDescent="0.2">
      <c r="A462" s="11"/>
      <c r="B462" s="11"/>
      <c r="C462" s="11"/>
      <c r="D462" s="6"/>
      <c r="E462" s="11"/>
      <c r="F462" s="11"/>
      <c r="G462" s="11"/>
      <c r="H462" s="11"/>
      <c r="I462" s="11"/>
      <c r="J462" s="11"/>
      <c r="K462" s="11"/>
      <c r="L462" s="11"/>
      <c r="M462" s="11"/>
    </row>
    <row r="463" spans="1:13" ht="14.25" customHeight="1" x14ac:dyDescent="0.2">
      <c r="A463" s="11"/>
      <c r="B463" s="11"/>
      <c r="C463" s="11"/>
      <c r="D463" s="6"/>
      <c r="E463" s="11"/>
      <c r="F463" s="11"/>
      <c r="G463" s="11"/>
      <c r="H463" s="11"/>
      <c r="I463" s="11"/>
      <c r="J463" s="11"/>
      <c r="K463" s="11"/>
      <c r="L463" s="11"/>
      <c r="M463" s="11"/>
    </row>
    <row r="464" spans="1:13" ht="14.25" customHeight="1" x14ac:dyDescent="0.2">
      <c r="A464" s="11"/>
      <c r="B464" s="11"/>
      <c r="C464" s="11"/>
      <c r="D464" s="6"/>
      <c r="E464" s="11"/>
      <c r="F464" s="11"/>
      <c r="G464" s="11"/>
      <c r="H464" s="11"/>
      <c r="I464" s="11"/>
      <c r="J464" s="11"/>
      <c r="K464" s="11"/>
      <c r="L464" s="11"/>
      <c r="M464" s="11"/>
    </row>
    <row r="465" spans="1:13" ht="14.25" customHeight="1" x14ac:dyDescent="0.2">
      <c r="A465" s="11"/>
      <c r="B465" s="11"/>
      <c r="C465" s="11"/>
      <c r="D465" s="6"/>
      <c r="E465" s="11"/>
      <c r="F465" s="11"/>
      <c r="G465" s="11"/>
      <c r="H465" s="11"/>
      <c r="I465" s="11"/>
      <c r="J465" s="11"/>
      <c r="K465" s="11"/>
      <c r="L465" s="11"/>
      <c r="M465" s="11"/>
    </row>
    <row r="466" spans="1:13" ht="14.25" customHeight="1" x14ac:dyDescent="0.2">
      <c r="A466" s="11"/>
      <c r="B466" s="11"/>
      <c r="C466" s="11"/>
      <c r="D466" s="6"/>
      <c r="E466" s="11"/>
      <c r="F466" s="11"/>
      <c r="G466" s="11"/>
      <c r="H466" s="11"/>
      <c r="I466" s="11"/>
      <c r="J466" s="11"/>
      <c r="K466" s="11"/>
      <c r="L466" s="11"/>
      <c r="M466" s="11"/>
    </row>
    <row r="467" spans="1:13" ht="14.25" customHeight="1" x14ac:dyDescent="0.2">
      <c r="A467" s="11"/>
      <c r="B467" s="11"/>
      <c r="C467" s="11"/>
      <c r="D467" s="6"/>
      <c r="E467" s="11"/>
      <c r="F467" s="11"/>
      <c r="G467" s="11"/>
      <c r="H467" s="11"/>
      <c r="I467" s="11"/>
      <c r="J467" s="11"/>
      <c r="K467" s="11"/>
      <c r="L467" s="11"/>
      <c r="M467" s="11"/>
    </row>
    <row r="468" spans="1:13" ht="14.25" customHeight="1" x14ac:dyDescent="0.2">
      <c r="A468" s="11"/>
      <c r="B468" s="11"/>
      <c r="C468" s="11"/>
      <c r="D468" s="6"/>
      <c r="E468" s="11"/>
      <c r="F468" s="11"/>
      <c r="G468" s="11"/>
      <c r="H468" s="11"/>
      <c r="I468" s="11"/>
      <c r="J468" s="11"/>
      <c r="K468" s="11"/>
      <c r="L468" s="11"/>
      <c r="M468" s="11"/>
    </row>
    <row r="469" spans="1:13" ht="14.25" customHeight="1" x14ac:dyDescent="0.2">
      <c r="A469" s="11"/>
      <c r="B469" s="11"/>
      <c r="C469" s="11"/>
      <c r="D469" s="6"/>
      <c r="E469" s="11"/>
      <c r="F469" s="11"/>
      <c r="G469" s="11"/>
      <c r="H469" s="11"/>
      <c r="I469" s="11"/>
      <c r="J469" s="11"/>
      <c r="K469" s="11"/>
      <c r="L469" s="11"/>
      <c r="M469" s="11"/>
    </row>
    <row r="470" spans="1:13" ht="14.25" customHeight="1" x14ac:dyDescent="0.2">
      <c r="A470" s="11"/>
      <c r="B470" s="11"/>
      <c r="C470" s="11"/>
      <c r="D470" s="6"/>
      <c r="E470" s="11"/>
      <c r="F470" s="11"/>
      <c r="G470" s="11"/>
      <c r="H470" s="11"/>
      <c r="I470" s="11"/>
      <c r="J470" s="11"/>
      <c r="K470" s="11"/>
      <c r="L470" s="11"/>
      <c r="M470" s="11"/>
    </row>
    <row r="471" spans="1:13" ht="14.25" customHeight="1" x14ac:dyDescent="0.2">
      <c r="A471" s="11"/>
      <c r="B471" s="11"/>
      <c r="C471" s="11"/>
      <c r="D471" s="6"/>
      <c r="E471" s="11"/>
      <c r="F471" s="11"/>
      <c r="G471" s="11"/>
      <c r="H471" s="11"/>
      <c r="I471" s="11"/>
      <c r="J471" s="11"/>
      <c r="K471" s="11"/>
      <c r="L471" s="11"/>
      <c r="M471" s="11"/>
    </row>
    <row r="472" spans="1:13" ht="14.25" customHeight="1" x14ac:dyDescent="0.2">
      <c r="A472" s="11"/>
      <c r="B472" s="11"/>
      <c r="C472" s="11"/>
      <c r="D472" s="6"/>
      <c r="E472" s="11"/>
      <c r="F472" s="11"/>
      <c r="G472" s="11"/>
      <c r="H472" s="11"/>
      <c r="I472" s="11"/>
      <c r="J472" s="11"/>
      <c r="K472" s="11"/>
      <c r="L472" s="11"/>
      <c r="M472" s="11"/>
    </row>
    <row r="473" spans="1:13" ht="14.25" customHeight="1" x14ac:dyDescent="0.2">
      <c r="A473" s="11"/>
      <c r="B473" s="11"/>
      <c r="C473" s="11"/>
      <c r="D473" s="6"/>
      <c r="E473" s="11"/>
      <c r="F473" s="11"/>
      <c r="G473" s="11"/>
      <c r="H473" s="11"/>
      <c r="I473" s="11"/>
      <c r="J473" s="11"/>
      <c r="K473" s="11"/>
      <c r="L473" s="11"/>
      <c r="M473" s="11"/>
    </row>
    <row r="474" spans="1:13" ht="14.25" customHeight="1" x14ac:dyDescent="0.2">
      <c r="A474" s="11"/>
      <c r="B474" s="11"/>
      <c r="C474" s="11"/>
      <c r="D474" s="6"/>
      <c r="E474" s="11"/>
      <c r="F474" s="11"/>
      <c r="G474" s="11"/>
      <c r="H474" s="11"/>
      <c r="I474" s="11"/>
      <c r="J474" s="11"/>
      <c r="K474" s="11"/>
      <c r="L474" s="11"/>
      <c r="M474" s="11"/>
    </row>
    <row r="475" spans="1:13" ht="14.25" customHeight="1" x14ac:dyDescent="0.2">
      <c r="A475" s="11"/>
      <c r="B475" s="11"/>
      <c r="C475" s="11"/>
      <c r="D475" s="6"/>
      <c r="E475" s="11"/>
      <c r="F475" s="11"/>
      <c r="G475" s="11"/>
      <c r="H475" s="11"/>
      <c r="I475" s="11"/>
      <c r="J475" s="11"/>
      <c r="K475" s="11"/>
      <c r="L475" s="11"/>
      <c r="M475" s="11"/>
    </row>
    <row r="476" spans="1:13" ht="14.25" customHeight="1" x14ac:dyDescent="0.2">
      <c r="A476" s="11"/>
      <c r="B476" s="11"/>
      <c r="C476" s="11"/>
      <c r="D476" s="6"/>
      <c r="E476" s="11"/>
      <c r="F476" s="11"/>
      <c r="G476" s="11"/>
      <c r="H476" s="11"/>
      <c r="I476" s="11"/>
      <c r="J476" s="11"/>
      <c r="K476" s="11"/>
      <c r="L476" s="11"/>
      <c r="M476" s="11"/>
    </row>
    <row r="477" spans="1:13" ht="14.25" customHeight="1" x14ac:dyDescent="0.2">
      <c r="A477" s="11"/>
      <c r="B477" s="11"/>
      <c r="C477" s="11"/>
      <c r="D477" s="6"/>
      <c r="E477" s="11"/>
      <c r="F477" s="11"/>
      <c r="G477" s="11"/>
      <c r="H477" s="11"/>
      <c r="I477" s="11"/>
      <c r="J477" s="11"/>
      <c r="K477" s="11"/>
      <c r="L477" s="11"/>
      <c r="M477" s="11"/>
    </row>
    <row r="478" spans="1:13" ht="14.25" customHeight="1" x14ac:dyDescent="0.2">
      <c r="A478" s="11"/>
      <c r="B478" s="11"/>
      <c r="C478" s="11"/>
      <c r="D478" s="6"/>
      <c r="E478" s="11"/>
      <c r="F478" s="11"/>
      <c r="G478" s="11"/>
      <c r="H478" s="11"/>
      <c r="I478" s="11"/>
      <c r="J478" s="11"/>
      <c r="K478" s="11"/>
      <c r="L478" s="11"/>
      <c r="M478" s="11"/>
    </row>
    <row r="479" spans="1:13" ht="14.25" customHeight="1" x14ac:dyDescent="0.2">
      <c r="A479" s="11"/>
      <c r="B479" s="11"/>
      <c r="C479" s="11"/>
      <c r="D479" s="6"/>
      <c r="E479" s="11"/>
      <c r="F479" s="11"/>
      <c r="G479" s="11"/>
      <c r="H479" s="11"/>
      <c r="I479" s="11"/>
      <c r="J479" s="11"/>
      <c r="K479" s="11"/>
      <c r="L479" s="11"/>
      <c r="M479" s="11"/>
    </row>
    <row r="480" spans="1:13" ht="14.25" customHeight="1" x14ac:dyDescent="0.2">
      <c r="A480" s="11"/>
      <c r="B480" s="11"/>
      <c r="C480" s="11"/>
      <c r="D480" s="6"/>
      <c r="E480" s="11"/>
      <c r="F480" s="11"/>
      <c r="G480" s="11"/>
      <c r="H480" s="11"/>
      <c r="I480" s="11"/>
      <c r="J480" s="11"/>
      <c r="K480" s="11"/>
      <c r="L480" s="11"/>
      <c r="M480" s="11"/>
    </row>
    <row r="481" spans="1:13" ht="14.25" customHeight="1" x14ac:dyDescent="0.2">
      <c r="A481" s="11"/>
      <c r="B481" s="11"/>
      <c r="C481" s="11"/>
      <c r="D481" s="6"/>
      <c r="E481" s="11"/>
      <c r="F481" s="11"/>
      <c r="G481" s="11"/>
      <c r="H481" s="11"/>
      <c r="I481" s="11"/>
      <c r="J481" s="11"/>
      <c r="K481" s="11"/>
      <c r="L481" s="11"/>
      <c r="M481" s="11"/>
    </row>
    <row r="482" spans="1:13" ht="14.25" customHeight="1" x14ac:dyDescent="0.2">
      <c r="A482" s="11"/>
      <c r="B482" s="11"/>
      <c r="C482" s="11"/>
      <c r="D482" s="6"/>
      <c r="E482" s="11"/>
      <c r="F482" s="11"/>
      <c r="G482" s="11"/>
      <c r="H482" s="11"/>
      <c r="I482" s="11"/>
      <c r="J482" s="11"/>
      <c r="K482" s="11"/>
      <c r="L482" s="11"/>
      <c r="M482" s="11"/>
    </row>
    <row r="483" spans="1:13" ht="14.25" customHeight="1" x14ac:dyDescent="0.2">
      <c r="A483" s="11"/>
      <c r="B483" s="11"/>
      <c r="C483" s="11"/>
      <c r="D483" s="6"/>
      <c r="E483" s="11"/>
      <c r="F483" s="11"/>
      <c r="G483" s="11"/>
      <c r="H483" s="11"/>
      <c r="I483" s="11"/>
      <c r="J483" s="11"/>
      <c r="K483" s="11"/>
      <c r="L483" s="11"/>
      <c r="M483" s="11"/>
    </row>
    <row r="484" spans="1:13" ht="14.25" customHeight="1" x14ac:dyDescent="0.2">
      <c r="A484" s="11"/>
      <c r="B484" s="11"/>
      <c r="C484" s="11"/>
      <c r="D484" s="6"/>
      <c r="E484" s="11"/>
      <c r="F484" s="11"/>
      <c r="G484" s="11"/>
      <c r="H484" s="11"/>
      <c r="I484" s="11"/>
      <c r="J484" s="11"/>
      <c r="K484" s="11"/>
      <c r="L484" s="11"/>
      <c r="M484" s="11"/>
    </row>
    <row r="485" spans="1:13" ht="14.25" customHeight="1" x14ac:dyDescent="0.2">
      <c r="A485" s="11"/>
      <c r="B485" s="11"/>
      <c r="C485" s="11"/>
      <c r="D485" s="6"/>
      <c r="E485" s="11"/>
      <c r="F485" s="11"/>
      <c r="G485" s="11"/>
      <c r="H485" s="11"/>
      <c r="I485" s="11"/>
      <c r="J485" s="11"/>
      <c r="K485" s="11"/>
      <c r="L485" s="11"/>
      <c r="M485" s="11"/>
    </row>
    <row r="486" spans="1:13" ht="14.25" customHeight="1" x14ac:dyDescent="0.2">
      <c r="A486" s="11"/>
      <c r="B486" s="11"/>
      <c r="C486" s="11"/>
      <c r="D486" s="6"/>
      <c r="E486" s="11"/>
      <c r="F486" s="11"/>
      <c r="G486" s="11"/>
      <c r="H486" s="11"/>
      <c r="I486" s="11"/>
      <c r="J486" s="11"/>
      <c r="K486" s="11"/>
      <c r="L486" s="11"/>
      <c r="M486" s="11"/>
    </row>
    <row r="487" spans="1:13" ht="14.25" customHeight="1" x14ac:dyDescent="0.2">
      <c r="A487" s="11"/>
      <c r="B487" s="11"/>
      <c r="C487" s="11"/>
      <c r="D487" s="6"/>
      <c r="E487" s="11"/>
      <c r="F487" s="11"/>
      <c r="G487" s="11"/>
      <c r="H487" s="11"/>
      <c r="I487" s="11"/>
      <c r="J487" s="11"/>
      <c r="K487" s="11"/>
      <c r="L487" s="11"/>
      <c r="M487" s="11"/>
    </row>
    <row r="488" spans="1:13" ht="14.25" customHeight="1" x14ac:dyDescent="0.2">
      <c r="A488" s="11"/>
      <c r="B488" s="11"/>
      <c r="C488" s="11"/>
      <c r="D488" s="6"/>
      <c r="E488" s="11"/>
      <c r="F488" s="11"/>
      <c r="G488" s="11"/>
      <c r="H488" s="11"/>
      <c r="I488" s="11"/>
      <c r="J488" s="11"/>
      <c r="K488" s="11"/>
      <c r="L488" s="11"/>
      <c r="M488" s="11"/>
    </row>
    <row r="489" spans="1:13" ht="14.25" customHeight="1" x14ac:dyDescent="0.2">
      <c r="A489" s="11"/>
      <c r="B489" s="11"/>
      <c r="C489" s="11"/>
      <c r="D489" s="6"/>
      <c r="E489" s="11"/>
      <c r="F489" s="11"/>
      <c r="G489" s="11"/>
      <c r="H489" s="11"/>
      <c r="I489" s="11"/>
      <c r="J489" s="11"/>
      <c r="K489" s="11"/>
      <c r="L489" s="11"/>
      <c r="M489" s="11"/>
    </row>
    <row r="490" spans="1:13" ht="14.25" customHeight="1" x14ac:dyDescent="0.2">
      <c r="A490" s="11"/>
      <c r="B490" s="11"/>
      <c r="C490" s="11"/>
      <c r="D490" s="6"/>
      <c r="E490" s="11"/>
      <c r="F490" s="11"/>
      <c r="G490" s="11"/>
      <c r="H490" s="11"/>
      <c r="I490" s="11"/>
      <c r="J490" s="11"/>
      <c r="K490" s="11"/>
      <c r="L490" s="11"/>
      <c r="M490" s="11"/>
    </row>
    <row r="491" spans="1:13" ht="14.25" customHeight="1" x14ac:dyDescent="0.2">
      <c r="A491" s="11"/>
      <c r="B491" s="11"/>
      <c r="C491" s="11"/>
      <c r="D491" s="6"/>
      <c r="E491" s="11"/>
      <c r="F491" s="11"/>
      <c r="G491" s="11"/>
      <c r="H491" s="11"/>
      <c r="I491" s="11"/>
      <c r="J491" s="11"/>
      <c r="K491" s="11"/>
      <c r="L491" s="11"/>
      <c r="M491" s="11"/>
    </row>
    <row r="492" spans="1:13" ht="14.25" customHeight="1" x14ac:dyDescent="0.2">
      <c r="A492" s="11"/>
      <c r="B492" s="11"/>
      <c r="C492" s="11"/>
      <c r="D492" s="6"/>
      <c r="E492" s="11"/>
      <c r="F492" s="11"/>
      <c r="G492" s="11"/>
      <c r="H492" s="11"/>
      <c r="I492" s="11"/>
      <c r="J492" s="11"/>
      <c r="K492" s="11"/>
      <c r="L492" s="11"/>
      <c r="M492" s="11"/>
    </row>
    <row r="493" spans="1:13" ht="14.25" customHeight="1" x14ac:dyDescent="0.2">
      <c r="A493" s="11"/>
      <c r="B493" s="11"/>
      <c r="C493" s="11"/>
      <c r="D493" s="6"/>
      <c r="E493" s="11"/>
      <c r="F493" s="11"/>
      <c r="G493" s="11"/>
      <c r="H493" s="11"/>
      <c r="I493" s="11"/>
      <c r="J493" s="11"/>
      <c r="K493" s="11"/>
      <c r="L493" s="11"/>
      <c r="M493" s="11"/>
    </row>
    <row r="494" spans="1:13" ht="14.25" customHeight="1" x14ac:dyDescent="0.2">
      <c r="A494" s="11"/>
      <c r="B494" s="11"/>
      <c r="C494" s="11"/>
      <c r="D494" s="6"/>
      <c r="E494" s="11"/>
      <c r="F494" s="11"/>
      <c r="G494" s="11"/>
      <c r="H494" s="11"/>
      <c r="I494" s="11"/>
      <c r="J494" s="11"/>
      <c r="K494" s="11"/>
      <c r="L494" s="11"/>
      <c r="M494" s="11"/>
    </row>
    <row r="495" spans="1:13" ht="14.25" customHeight="1" x14ac:dyDescent="0.2">
      <c r="A495" s="11"/>
      <c r="B495" s="11"/>
      <c r="C495" s="11"/>
      <c r="D495" s="6"/>
      <c r="E495" s="11"/>
      <c r="F495" s="11"/>
      <c r="G495" s="11"/>
      <c r="H495" s="11"/>
      <c r="I495" s="11"/>
      <c r="J495" s="11"/>
      <c r="K495" s="11"/>
      <c r="L495" s="11"/>
      <c r="M495" s="11"/>
    </row>
    <row r="496" spans="1:13" ht="14.25" customHeight="1" x14ac:dyDescent="0.2">
      <c r="A496" s="11"/>
      <c r="B496" s="11"/>
      <c r="C496" s="11"/>
      <c r="D496" s="6"/>
      <c r="E496" s="11"/>
      <c r="F496" s="11"/>
      <c r="G496" s="11"/>
      <c r="H496" s="11"/>
      <c r="I496" s="11"/>
      <c r="J496" s="11"/>
      <c r="K496" s="11"/>
      <c r="L496" s="11"/>
      <c r="M496" s="11"/>
    </row>
    <row r="497" spans="1:13" ht="14.25" customHeight="1" x14ac:dyDescent="0.2">
      <c r="A497" s="11"/>
      <c r="B497" s="11"/>
      <c r="C497" s="11"/>
      <c r="D497" s="6"/>
      <c r="E497" s="11"/>
      <c r="F497" s="11"/>
      <c r="G497" s="11"/>
      <c r="H497" s="11"/>
      <c r="I497" s="11"/>
      <c r="J497" s="11"/>
      <c r="K497" s="11"/>
      <c r="L497" s="11"/>
      <c r="M497" s="11"/>
    </row>
    <row r="498" spans="1:13" ht="14.25" customHeight="1" x14ac:dyDescent="0.2">
      <c r="A498" s="11"/>
      <c r="B498" s="11"/>
      <c r="C498" s="11"/>
      <c r="D498" s="6"/>
      <c r="E498" s="11"/>
      <c r="F498" s="11"/>
      <c r="G498" s="11"/>
      <c r="H498" s="11"/>
      <c r="I498" s="11"/>
      <c r="J498" s="11"/>
      <c r="K498" s="11"/>
      <c r="L498" s="11"/>
      <c r="M498" s="11"/>
    </row>
    <row r="499" spans="1:13" ht="14.25" customHeight="1" x14ac:dyDescent="0.2">
      <c r="A499" s="11"/>
      <c r="B499" s="11"/>
      <c r="C499" s="11"/>
      <c r="D499" s="6"/>
      <c r="E499" s="11"/>
      <c r="F499" s="11"/>
      <c r="G499" s="11"/>
      <c r="H499" s="11"/>
      <c r="I499" s="11"/>
      <c r="J499" s="11"/>
      <c r="K499" s="11"/>
      <c r="L499" s="11"/>
      <c r="M499" s="11"/>
    </row>
    <row r="500" spans="1:13" ht="14.25" customHeight="1" x14ac:dyDescent="0.2">
      <c r="A500" s="11"/>
      <c r="B500" s="11"/>
      <c r="C500" s="11"/>
      <c r="D500" s="6"/>
      <c r="E500" s="11"/>
      <c r="F500" s="11"/>
      <c r="G500" s="11"/>
      <c r="H500" s="11"/>
      <c r="I500" s="11"/>
      <c r="J500" s="11"/>
      <c r="K500" s="11"/>
      <c r="L500" s="11"/>
      <c r="M500" s="11"/>
    </row>
    <row r="501" spans="1:13" ht="14.25" customHeight="1" x14ac:dyDescent="0.2">
      <c r="A501" s="11"/>
      <c r="B501" s="11"/>
      <c r="C501" s="11"/>
      <c r="D501" s="6"/>
      <c r="E501" s="11"/>
      <c r="F501" s="11"/>
      <c r="G501" s="11"/>
      <c r="H501" s="11"/>
      <c r="I501" s="11"/>
      <c r="J501" s="11"/>
      <c r="K501" s="11"/>
      <c r="L501" s="11"/>
      <c r="M501" s="11"/>
    </row>
    <row r="502" spans="1:13" ht="14.25" customHeight="1" x14ac:dyDescent="0.2">
      <c r="A502" s="11"/>
      <c r="B502" s="11"/>
      <c r="C502" s="11"/>
      <c r="D502" s="6"/>
      <c r="E502" s="11"/>
      <c r="F502" s="11"/>
      <c r="G502" s="11"/>
      <c r="H502" s="11"/>
      <c r="I502" s="11"/>
      <c r="J502" s="11"/>
      <c r="K502" s="11"/>
      <c r="L502" s="11"/>
      <c r="M502" s="11"/>
    </row>
    <row r="503" spans="1:13" ht="14.25" customHeight="1" x14ac:dyDescent="0.2">
      <c r="A503" s="11"/>
      <c r="B503" s="11"/>
      <c r="C503" s="11"/>
      <c r="D503" s="6"/>
      <c r="E503" s="11"/>
      <c r="F503" s="11"/>
      <c r="G503" s="11"/>
      <c r="H503" s="11"/>
      <c r="I503" s="11"/>
      <c r="J503" s="11"/>
      <c r="K503" s="11"/>
      <c r="L503" s="11"/>
      <c r="M503" s="11"/>
    </row>
    <row r="504" spans="1:13" ht="14.25" customHeight="1" x14ac:dyDescent="0.2">
      <c r="A504" s="11"/>
      <c r="B504" s="11"/>
      <c r="C504" s="11"/>
      <c r="D504" s="6"/>
      <c r="E504" s="11"/>
      <c r="F504" s="11"/>
      <c r="G504" s="11"/>
      <c r="H504" s="11"/>
      <c r="I504" s="11"/>
      <c r="J504" s="11"/>
      <c r="K504" s="11"/>
      <c r="L504" s="11"/>
      <c r="M504" s="11"/>
    </row>
    <row r="505" spans="1:13" ht="14.25" customHeight="1" x14ac:dyDescent="0.2">
      <c r="A505" s="11"/>
      <c r="B505" s="11"/>
      <c r="C505" s="11"/>
      <c r="D505" s="6"/>
      <c r="E505" s="11"/>
      <c r="F505" s="11"/>
      <c r="G505" s="11"/>
      <c r="H505" s="11"/>
      <c r="I505" s="11"/>
      <c r="J505" s="11"/>
      <c r="K505" s="11"/>
      <c r="L505" s="11"/>
      <c r="M505" s="11"/>
    </row>
    <row r="506" spans="1:13" ht="14.25" customHeight="1" x14ac:dyDescent="0.2">
      <c r="A506" s="11"/>
      <c r="B506" s="11"/>
      <c r="C506" s="11"/>
      <c r="D506" s="6"/>
      <c r="E506" s="11"/>
      <c r="F506" s="11"/>
      <c r="G506" s="11"/>
      <c r="H506" s="11"/>
      <c r="I506" s="11"/>
      <c r="J506" s="11"/>
      <c r="K506" s="11"/>
      <c r="L506" s="11"/>
      <c r="M506" s="11"/>
    </row>
    <row r="507" spans="1:13" ht="14.25" customHeight="1" x14ac:dyDescent="0.2">
      <c r="A507" s="11"/>
      <c r="B507" s="11"/>
      <c r="C507" s="11"/>
      <c r="D507" s="6"/>
      <c r="E507" s="11"/>
      <c r="F507" s="11"/>
      <c r="G507" s="11"/>
      <c r="H507" s="11"/>
      <c r="I507" s="11"/>
      <c r="J507" s="11"/>
      <c r="K507" s="11"/>
      <c r="L507" s="11"/>
      <c r="M507" s="11"/>
    </row>
    <row r="508" spans="1:13" ht="14.25" customHeight="1" x14ac:dyDescent="0.2">
      <c r="A508" s="11"/>
      <c r="B508" s="11"/>
      <c r="C508" s="11"/>
      <c r="D508" s="6"/>
      <c r="E508" s="11"/>
      <c r="F508" s="11"/>
      <c r="G508" s="11"/>
      <c r="H508" s="11"/>
      <c r="I508" s="11"/>
      <c r="J508" s="11"/>
      <c r="K508" s="11"/>
      <c r="L508" s="11"/>
      <c r="M508" s="11"/>
    </row>
    <row r="509" spans="1:13" ht="14.25" customHeight="1" x14ac:dyDescent="0.2">
      <c r="A509" s="11"/>
      <c r="B509" s="11"/>
      <c r="C509" s="11"/>
      <c r="D509" s="6"/>
      <c r="E509" s="11"/>
      <c r="F509" s="11"/>
      <c r="G509" s="11"/>
      <c r="H509" s="11"/>
      <c r="I509" s="11"/>
      <c r="J509" s="11"/>
      <c r="K509" s="11"/>
      <c r="L509" s="11"/>
      <c r="M509" s="11"/>
    </row>
    <row r="510" spans="1:13" ht="14.25" customHeight="1" x14ac:dyDescent="0.2">
      <c r="A510" s="11"/>
      <c r="B510" s="11"/>
      <c r="C510" s="11"/>
      <c r="D510" s="6"/>
      <c r="E510" s="11"/>
      <c r="F510" s="11"/>
      <c r="G510" s="11"/>
      <c r="H510" s="11"/>
      <c r="I510" s="11"/>
      <c r="J510" s="11"/>
      <c r="K510" s="11"/>
      <c r="L510" s="11"/>
      <c r="M510" s="11"/>
    </row>
    <row r="511" spans="1:13" ht="14.25" customHeight="1" x14ac:dyDescent="0.2">
      <c r="A511" s="11"/>
      <c r="B511" s="11"/>
      <c r="C511" s="11"/>
      <c r="D511" s="6"/>
      <c r="E511" s="11"/>
      <c r="F511" s="11"/>
      <c r="G511" s="11"/>
      <c r="H511" s="11"/>
      <c r="I511" s="11"/>
      <c r="J511" s="11"/>
      <c r="K511" s="11"/>
      <c r="L511" s="11"/>
      <c r="M511" s="11"/>
    </row>
    <row r="512" spans="1:13" ht="14.25" customHeight="1" x14ac:dyDescent="0.2">
      <c r="A512" s="11"/>
      <c r="B512" s="11"/>
      <c r="C512" s="11"/>
      <c r="D512" s="6"/>
      <c r="E512" s="11"/>
      <c r="F512" s="11"/>
      <c r="G512" s="11"/>
      <c r="H512" s="11"/>
      <c r="I512" s="11"/>
      <c r="J512" s="11"/>
      <c r="K512" s="11"/>
      <c r="L512" s="11"/>
      <c r="M512" s="11"/>
    </row>
    <row r="513" spans="1:13" ht="14.25" customHeight="1" x14ac:dyDescent="0.2">
      <c r="A513" s="11"/>
      <c r="B513" s="11"/>
      <c r="C513" s="11"/>
      <c r="D513" s="6"/>
      <c r="E513" s="11"/>
      <c r="F513" s="11"/>
      <c r="G513" s="11"/>
      <c r="H513" s="11"/>
      <c r="I513" s="11"/>
      <c r="J513" s="11"/>
      <c r="K513" s="11"/>
      <c r="L513" s="11"/>
      <c r="M513" s="11"/>
    </row>
    <row r="514" spans="1:13" ht="14.25" customHeight="1" x14ac:dyDescent="0.2">
      <c r="A514" s="11"/>
      <c r="B514" s="11"/>
      <c r="C514" s="11"/>
      <c r="D514" s="6"/>
      <c r="E514" s="11"/>
      <c r="F514" s="11"/>
      <c r="G514" s="11"/>
      <c r="H514" s="11"/>
      <c r="I514" s="11"/>
      <c r="J514" s="11"/>
      <c r="K514" s="11"/>
      <c r="L514" s="11"/>
      <c r="M514" s="11"/>
    </row>
    <row r="515" spans="1:13" ht="14.25" customHeight="1" x14ac:dyDescent="0.2">
      <c r="A515" s="11"/>
      <c r="B515" s="11"/>
      <c r="C515" s="11"/>
      <c r="D515" s="6"/>
      <c r="E515" s="11"/>
      <c r="F515" s="11"/>
      <c r="G515" s="11"/>
      <c r="H515" s="11"/>
      <c r="I515" s="11"/>
      <c r="J515" s="11"/>
      <c r="K515" s="11"/>
      <c r="L515" s="11"/>
      <c r="M515" s="11"/>
    </row>
    <row r="516" spans="1:13" ht="14.25" customHeight="1" x14ac:dyDescent="0.2">
      <c r="A516" s="11"/>
      <c r="B516" s="11"/>
      <c r="C516" s="11"/>
      <c r="D516" s="6"/>
      <c r="E516" s="11"/>
      <c r="F516" s="11"/>
      <c r="G516" s="11"/>
      <c r="H516" s="11"/>
      <c r="I516" s="11"/>
      <c r="J516" s="11"/>
      <c r="K516" s="11"/>
      <c r="L516" s="11"/>
      <c r="M516" s="11"/>
    </row>
    <row r="517" spans="1:13" ht="14.25" customHeight="1" x14ac:dyDescent="0.2">
      <c r="A517" s="11"/>
      <c r="B517" s="11"/>
      <c r="C517" s="11"/>
      <c r="D517" s="6"/>
      <c r="E517" s="11"/>
      <c r="F517" s="11"/>
      <c r="G517" s="11"/>
      <c r="H517" s="11"/>
      <c r="I517" s="11"/>
      <c r="J517" s="11"/>
      <c r="K517" s="11"/>
      <c r="L517" s="11"/>
      <c r="M517" s="11"/>
    </row>
    <row r="518" spans="1:13" ht="14.25" customHeight="1" x14ac:dyDescent="0.2">
      <c r="A518" s="11"/>
      <c r="B518" s="11"/>
      <c r="C518" s="11"/>
      <c r="D518" s="6"/>
      <c r="E518" s="11"/>
      <c r="F518" s="11"/>
      <c r="G518" s="11"/>
      <c r="H518" s="11"/>
      <c r="I518" s="11"/>
      <c r="J518" s="11"/>
      <c r="K518" s="11"/>
      <c r="L518" s="11"/>
      <c r="M518" s="11"/>
    </row>
    <row r="519" spans="1:13" ht="14.25" customHeight="1" x14ac:dyDescent="0.2">
      <c r="A519" s="11"/>
      <c r="B519" s="11"/>
      <c r="C519" s="11"/>
      <c r="D519" s="6"/>
      <c r="E519" s="11"/>
      <c r="F519" s="11"/>
      <c r="G519" s="11"/>
      <c r="H519" s="11"/>
      <c r="I519" s="11"/>
      <c r="J519" s="11"/>
      <c r="K519" s="11"/>
      <c r="L519" s="11"/>
      <c r="M519" s="11"/>
    </row>
    <row r="520" spans="1:13" ht="14.25" customHeight="1" x14ac:dyDescent="0.2">
      <c r="A520" s="11"/>
      <c r="B520" s="11"/>
      <c r="C520" s="11"/>
      <c r="D520" s="6"/>
      <c r="E520" s="11"/>
      <c r="F520" s="11"/>
      <c r="G520" s="11"/>
      <c r="H520" s="11"/>
      <c r="I520" s="11"/>
      <c r="J520" s="11"/>
      <c r="K520" s="11"/>
      <c r="L520" s="11"/>
      <c r="M520" s="11"/>
    </row>
    <row r="521" spans="1:13" ht="14.25" customHeight="1" x14ac:dyDescent="0.2">
      <c r="A521" s="11"/>
      <c r="B521" s="11"/>
      <c r="C521" s="11"/>
      <c r="D521" s="6"/>
      <c r="E521" s="11"/>
      <c r="F521" s="11"/>
      <c r="G521" s="11"/>
      <c r="H521" s="11"/>
      <c r="I521" s="11"/>
      <c r="J521" s="11"/>
      <c r="K521" s="11"/>
      <c r="L521" s="11"/>
      <c r="M521" s="11"/>
    </row>
    <row r="522" spans="1:13" ht="14.25" customHeight="1" x14ac:dyDescent="0.2">
      <c r="A522" s="11"/>
      <c r="B522" s="11"/>
      <c r="C522" s="11"/>
      <c r="D522" s="6"/>
      <c r="E522" s="11"/>
      <c r="F522" s="11"/>
      <c r="G522" s="11"/>
      <c r="H522" s="11"/>
      <c r="I522" s="11"/>
      <c r="J522" s="11"/>
      <c r="K522" s="11"/>
      <c r="L522" s="11"/>
      <c r="M522" s="11"/>
    </row>
    <row r="523" spans="1:13" ht="14.25" customHeight="1" x14ac:dyDescent="0.2">
      <c r="A523" s="11"/>
      <c r="B523" s="11"/>
      <c r="C523" s="11"/>
      <c r="D523" s="6"/>
      <c r="E523" s="11"/>
      <c r="F523" s="11"/>
      <c r="G523" s="11"/>
      <c r="H523" s="11"/>
      <c r="I523" s="11"/>
      <c r="J523" s="11"/>
      <c r="K523" s="11"/>
      <c r="L523" s="11"/>
      <c r="M523" s="11"/>
    </row>
    <row r="524" spans="1:13" ht="14.25" customHeight="1" x14ac:dyDescent="0.2">
      <c r="A524" s="11"/>
      <c r="B524" s="11"/>
      <c r="C524" s="11"/>
      <c r="D524" s="6"/>
      <c r="E524" s="11"/>
      <c r="F524" s="11"/>
      <c r="G524" s="11"/>
      <c r="H524" s="11"/>
      <c r="I524" s="11"/>
      <c r="J524" s="11"/>
      <c r="K524" s="11"/>
      <c r="L524" s="11"/>
      <c r="M524" s="11"/>
    </row>
    <row r="525" spans="1:13" ht="14.25" customHeight="1" x14ac:dyDescent="0.2">
      <c r="A525" s="11"/>
      <c r="B525" s="11"/>
      <c r="C525" s="11"/>
      <c r="D525" s="6"/>
      <c r="E525" s="11"/>
      <c r="F525" s="11"/>
      <c r="G525" s="11"/>
      <c r="H525" s="11"/>
      <c r="I525" s="11"/>
      <c r="J525" s="11"/>
      <c r="K525" s="11"/>
      <c r="L525" s="11"/>
      <c r="M525" s="11"/>
    </row>
    <row r="526" spans="1:13" ht="14.25" customHeight="1" x14ac:dyDescent="0.2">
      <c r="A526" s="11"/>
      <c r="B526" s="11"/>
      <c r="C526" s="11"/>
      <c r="D526" s="6"/>
      <c r="E526" s="11"/>
      <c r="F526" s="11"/>
      <c r="G526" s="11"/>
      <c r="H526" s="11"/>
      <c r="I526" s="11"/>
      <c r="J526" s="11"/>
      <c r="K526" s="11"/>
      <c r="L526" s="11"/>
      <c r="M526" s="11"/>
    </row>
    <row r="527" spans="1:13" ht="14.25" customHeight="1" x14ac:dyDescent="0.2">
      <c r="A527" s="11"/>
      <c r="B527" s="11"/>
      <c r="C527" s="11"/>
      <c r="D527" s="6"/>
      <c r="E527" s="11"/>
      <c r="F527" s="11"/>
      <c r="G527" s="11"/>
      <c r="H527" s="11"/>
      <c r="I527" s="11"/>
      <c r="J527" s="11"/>
      <c r="K527" s="11"/>
      <c r="L527" s="11"/>
      <c r="M527" s="11"/>
    </row>
    <row r="528" spans="1:13" ht="14.25" customHeight="1" x14ac:dyDescent="0.2">
      <c r="A528" s="11"/>
      <c r="B528" s="11"/>
      <c r="C528" s="11"/>
      <c r="D528" s="6"/>
      <c r="E528" s="11"/>
      <c r="F528" s="11"/>
      <c r="G528" s="11"/>
      <c r="H528" s="11"/>
      <c r="I528" s="11"/>
      <c r="J528" s="11"/>
      <c r="K528" s="11"/>
      <c r="L528" s="11"/>
      <c r="M528" s="11"/>
    </row>
    <row r="529" spans="1:13" ht="14.25" customHeight="1" x14ac:dyDescent="0.2">
      <c r="A529" s="11"/>
      <c r="B529" s="11"/>
      <c r="C529" s="11"/>
      <c r="D529" s="6"/>
      <c r="E529" s="11"/>
      <c r="F529" s="11"/>
      <c r="G529" s="11"/>
      <c r="H529" s="11"/>
      <c r="I529" s="11"/>
      <c r="J529" s="11"/>
      <c r="K529" s="11"/>
      <c r="L529" s="11"/>
      <c r="M529" s="11"/>
    </row>
    <row r="530" spans="1:13" ht="14.25" customHeight="1" x14ac:dyDescent="0.2">
      <c r="A530" s="11"/>
      <c r="B530" s="11"/>
      <c r="C530" s="11"/>
      <c r="D530" s="6"/>
      <c r="E530" s="11"/>
      <c r="F530" s="11"/>
      <c r="G530" s="11"/>
      <c r="H530" s="11"/>
      <c r="I530" s="11"/>
      <c r="J530" s="11"/>
      <c r="K530" s="11"/>
      <c r="L530" s="11"/>
      <c r="M530" s="11"/>
    </row>
    <row r="531" spans="1:13" ht="14.25" customHeight="1" x14ac:dyDescent="0.2">
      <c r="A531" s="11"/>
      <c r="B531" s="11"/>
      <c r="C531" s="11"/>
      <c r="D531" s="6"/>
      <c r="E531" s="11"/>
      <c r="F531" s="11"/>
      <c r="G531" s="11"/>
      <c r="H531" s="11"/>
      <c r="I531" s="11"/>
      <c r="J531" s="11"/>
      <c r="K531" s="11"/>
      <c r="L531" s="11"/>
      <c r="M531" s="11"/>
    </row>
    <row r="532" spans="1:13" ht="14.25" customHeight="1" x14ac:dyDescent="0.2">
      <c r="A532" s="11"/>
      <c r="B532" s="11"/>
      <c r="C532" s="11"/>
      <c r="D532" s="6"/>
      <c r="E532" s="11"/>
      <c r="F532" s="11"/>
      <c r="G532" s="11"/>
      <c r="H532" s="11"/>
      <c r="I532" s="11"/>
      <c r="J532" s="11"/>
      <c r="K532" s="11"/>
      <c r="L532" s="11"/>
      <c r="M532" s="11"/>
    </row>
    <row r="533" spans="1:13" ht="14.25" customHeight="1" x14ac:dyDescent="0.2">
      <c r="A533" s="11"/>
      <c r="B533" s="11"/>
      <c r="C533" s="11"/>
      <c r="D533" s="6"/>
      <c r="E533" s="11"/>
      <c r="F533" s="11"/>
      <c r="G533" s="11"/>
      <c r="H533" s="11"/>
      <c r="I533" s="11"/>
      <c r="J533" s="11"/>
      <c r="K533" s="11"/>
      <c r="L533" s="11"/>
      <c r="M533" s="11"/>
    </row>
    <row r="534" spans="1:13" ht="14.25" customHeight="1" x14ac:dyDescent="0.2">
      <c r="A534" s="11"/>
      <c r="B534" s="11"/>
      <c r="C534" s="11"/>
      <c r="D534" s="6"/>
      <c r="E534" s="11"/>
      <c r="F534" s="11"/>
      <c r="G534" s="11"/>
      <c r="H534" s="11"/>
      <c r="I534" s="11"/>
      <c r="J534" s="11"/>
      <c r="K534" s="11"/>
      <c r="L534" s="11"/>
      <c r="M534" s="11"/>
    </row>
    <row r="535" spans="1:13" ht="14.25" customHeight="1" x14ac:dyDescent="0.2">
      <c r="A535" s="11"/>
      <c r="B535" s="11"/>
      <c r="C535" s="11"/>
      <c r="D535" s="6"/>
      <c r="E535" s="11"/>
      <c r="F535" s="11"/>
      <c r="G535" s="11"/>
      <c r="H535" s="11"/>
      <c r="I535" s="11"/>
      <c r="J535" s="11"/>
      <c r="K535" s="11"/>
      <c r="L535" s="11"/>
      <c r="M535" s="11"/>
    </row>
    <row r="536" spans="1:13" ht="14.25" customHeight="1" x14ac:dyDescent="0.2">
      <c r="A536" s="11"/>
      <c r="B536" s="11"/>
      <c r="C536" s="11"/>
      <c r="D536" s="6"/>
      <c r="E536" s="11"/>
      <c r="F536" s="11"/>
      <c r="G536" s="11"/>
      <c r="H536" s="11"/>
      <c r="I536" s="11"/>
      <c r="J536" s="11"/>
      <c r="K536" s="11"/>
      <c r="L536" s="11"/>
      <c r="M536" s="11"/>
    </row>
    <row r="537" spans="1:13" ht="14.25" customHeight="1" x14ac:dyDescent="0.2">
      <c r="A537" s="11"/>
      <c r="B537" s="11"/>
      <c r="C537" s="11"/>
      <c r="D537" s="6"/>
      <c r="E537" s="11"/>
      <c r="F537" s="11"/>
      <c r="G537" s="11"/>
      <c r="H537" s="11"/>
      <c r="I537" s="11"/>
      <c r="J537" s="11"/>
      <c r="K537" s="11"/>
      <c r="L537" s="11"/>
      <c r="M537" s="11"/>
    </row>
    <row r="538" spans="1:13" ht="14.25" customHeight="1" x14ac:dyDescent="0.2">
      <c r="A538" s="11"/>
      <c r="B538" s="11"/>
      <c r="C538" s="11"/>
      <c r="D538" s="6"/>
      <c r="E538" s="11"/>
      <c r="F538" s="11"/>
      <c r="G538" s="11"/>
      <c r="H538" s="11"/>
      <c r="I538" s="11"/>
      <c r="J538" s="11"/>
      <c r="K538" s="11"/>
      <c r="L538" s="11"/>
      <c r="M538" s="11"/>
    </row>
    <row r="539" spans="1:13" ht="14.25" customHeight="1" x14ac:dyDescent="0.2">
      <c r="A539" s="11"/>
      <c r="B539" s="11"/>
      <c r="C539" s="11"/>
      <c r="D539" s="6"/>
      <c r="E539" s="11"/>
      <c r="F539" s="11"/>
      <c r="G539" s="11"/>
      <c r="H539" s="11"/>
      <c r="I539" s="11"/>
      <c r="J539" s="11"/>
      <c r="K539" s="11"/>
      <c r="L539" s="11"/>
      <c r="M539" s="11"/>
    </row>
    <row r="540" spans="1:13" ht="14.25" customHeight="1" x14ac:dyDescent="0.2">
      <c r="A540" s="11"/>
      <c r="B540" s="11"/>
      <c r="C540" s="11"/>
      <c r="D540" s="6"/>
      <c r="E540" s="11"/>
      <c r="F540" s="11"/>
      <c r="G540" s="11"/>
      <c r="H540" s="11"/>
      <c r="I540" s="11"/>
      <c r="J540" s="11"/>
      <c r="K540" s="11"/>
      <c r="L540" s="11"/>
      <c r="M540" s="11"/>
    </row>
    <row r="541" spans="1:13" ht="14.25" customHeight="1" x14ac:dyDescent="0.2">
      <c r="A541" s="11"/>
      <c r="B541" s="11"/>
      <c r="C541" s="11"/>
      <c r="D541" s="6"/>
      <c r="E541" s="11"/>
      <c r="F541" s="11"/>
      <c r="G541" s="11"/>
      <c r="H541" s="11"/>
      <c r="I541" s="11"/>
      <c r="J541" s="11"/>
      <c r="K541" s="11"/>
      <c r="L541" s="11"/>
      <c r="M541" s="11"/>
    </row>
    <row r="542" spans="1:13" ht="14.25" customHeight="1" x14ac:dyDescent="0.2">
      <c r="A542" s="11"/>
      <c r="B542" s="11"/>
      <c r="C542" s="11"/>
      <c r="D542" s="6"/>
      <c r="E542" s="11"/>
      <c r="F542" s="11"/>
      <c r="G542" s="11"/>
      <c r="H542" s="11"/>
      <c r="I542" s="11"/>
      <c r="J542" s="11"/>
      <c r="K542" s="11"/>
      <c r="L542" s="11"/>
      <c r="M542" s="11"/>
    </row>
    <row r="543" spans="1:13" ht="14.25" customHeight="1" x14ac:dyDescent="0.2">
      <c r="A543" s="11"/>
      <c r="B543" s="11"/>
      <c r="C543" s="11"/>
      <c r="D543" s="6"/>
      <c r="E543" s="11"/>
      <c r="F543" s="11"/>
      <c r="G543" s="11"/>
      <c r="H543" s="11"/>
      <c r="I543" s="11"/>
      <c r="J543" s="11"/>
      <c r="K543" s="11"/>
      <c r="L543" s="11"/>
      <c r="M543" s="11"/>
    </row>
    <row r="544" spans="1:13" ht="14.25" customHeight="1" x14ac:dyDescent="0.2">
      <c r="A544" s="11"/>
      <c r="B544" s="11"/>
      <c r="C544" s="11"/>
      <c r="D544" s="6"/>
      <c r="E544" s="11"/>
      <c r="F544" s="11"/>
      <c r="G544" s="11"/>
      <c r="H544" s="11"/>
      <c r="I544" s="11"/>
      <c r="J544" s="11"/>
      <c r="K544" s="11"/>
      <c r="L544" s="11"/>
      <c r="M544" s="11"/>
    </row>
    <row r="545" spans="1:13" ht="14.25" customHeight="1" x14ac:dyDescent="0.2">
      <c r="A545" s="11"/>
      <c r="B545" s="11"/>
      <c r="C545" s="11"/>
      <c r="D545" s="6"/>
      <c r="E545" s="11"/>
      <c r="F545" s="11"/>
      <c r="G545" s="11"/>
      <c r="H545" s="11"/>
      <c r="I545" s="11"/>
      <c r="J545" s="11"/>
      <c r="K545" s="11"/>
      <c r="L545" s="11"/>
      <c r="M545" s="11"/>
    </row>
    <row r="546" spans="1:13" ht="14.25" customHeight="1" x14ac:dyDescent="0.2">
      <c r="A546" s="11"/>
      <c r="B546" s="11"/>
      <c r="C546" s="11"/>
      <c r="D546" s="6"/>
      <c r="E546" s="11"/>
      <c r="F546" s="11"/>
      <c r="G546" s="11"/>
      <c r="H546" s="11"/>
      <c r="I546" s="11"/>
      <c r="J546" s="11"/>
      <c r="K546" s="11"/>
      <c r="L546" s="11"/>
      <c r="M546" s="11"/>
    </row>
    <row r="547" spans="1:13" ht="14.25" customHeight="1" x14ac:dyDescent="0.2">
      <c r="A547" s="11"/>
      <c r="B547" s="11"/>
      <c r="C547" s="11"/>
      <c r="D547" s="6"/>
      <c r="E547" s="11"/>
      <c r="F547" s="11"/>
      <c r="G547" s="11"/>
      <c r="H547" s="11"/>
      <c r="I547" s="11"/>
      <c r="J547" s="11"/>
      <c r="K547" s="11"/>
      <c r="L547" s="11"/>
      <c r="M547" s="11"/>
    </row>
    <row r="548" spans="1:13" ht="14.25" customHeight="1" x14ac:dyDescent="0.2">
      <c r="A548" s="11"/>
      <c r="B548" s="11"/>
      <c r="C548" s="11"/>
      <c r="D548" s="6"/>
      <c r="E548" s="11"/>
      <c r="F548" s="11"/>
      <c r="G548" s="11"/>
      <c r="H548" s="11"/>
      <c r="I548" s="11"/>
      <c r="J548" s="11"/>
      <c r="K548" s="11"/>
      <c r="L548" s="11"/>
      <c r="M548" s="11"/>
    </row>
    <row r="549" spans="1:13" ht="14.25" customHeight="1" x14ac:dyDescent="0.2">
      <c r="A549" s="11"/>
      <c r="B549" s="11"/>
      <c r="C549" s="11"/>
      <c r="D549" s="6"/>
      <c r="E549" s="11"/>
      <c r="F549" s="11"/>
      <c r="G549" s="11"/>
      <c r="H549" s="11"/>
      <c r="I549" s="11"/>
      <c r="J549" s="11"/>
      <c r="K549" s="11"/>
      <c r="L549" s="11"/>
      <c r="M549" s="11"/>
    </row>
    <row r="550" spans="1:13" ht="14.25" customHeight="1" x14ac:dyDescent="0.2">
      <c r="A550" s="11"/>
      <c r="B550" s="11"/>
      <c r="C550" s="11"/>
      <c r="D550" s="6"/>
      <c r="E550" s="11"/>
      <c r="F550" s="11"/>
      <c r="G550" s="11"/>
      <c r="H550" s="11"/>
      <c r="I550" s="11"/>
      <c r="J550" s="11"/>
      <c r="K550" s="11"/>
      <c r="L550" s="11"/>
      <c r="M550" s="11"/>
    </row>
    <row r="551" spans="1:13" ht="14.25" customHeight="1" x14ac:dyDescent="0.2">
      <c r="A551" s="11"/>
      <c r="B551" s="11"/>
      <c r="C551" s="11"/>
      <c r="D551" s="6"/>
      <c r="E551" s="11"/>
      <c r="F551" s="11"/>
      <c r="G551" s="11"/>
      <c r="H551" s="11"/>
      <c r="I551" s="11"/>
      <c r="J551" s="11"/>
      <c r="K551" s="11"/>
      <c r="L551" s="11"/>
      <c r="M551" s="11"/>
    </row>
    <row r="552" spans="1:13" ht="14.25" customHeight="1" x14ac:dyDescent="0.2">
      <c r="A552" s="11"/>
      <c r="B552" s="11"/>
      <c r="C552" s="11"/>
      <c r="D552" s="6"/>
      <c r="E552" s="11"/>
      <c r="F552" s="11"/>
      <c r="G552" s="11"/>
      <c r="H552" s="11"/>
      <c r="I552" s="11"/>
      <c r="J552" s="11"/>
      <c r="K552" s="11"/>
      <c r="L552" s="11"/>
      <c r="M552" s="11"/>
    </row>
    <row r="553" spans="1:13" ht="14.25" customHeight="1" x14ac:dyDescent="0.2">
      <c r="A553" s="11"/>
      <c r="B553" s="11"/>
      <c r="C553" s="11"/>
      <c r="D553" s="6"/>
      <c r="E553" s="11"/>
      <c r="F553" s="11"/>
      <c r="G553" s="11"/>
      <c r="H553" s="11"/>
      <c r="I553" s="11"/>
      <c r="J553" s="11"/>
      <c r="K553" s="11"/>
      <c r="L553" s="11"/>
      <c r="M553" s="11"/>
    </row>
    <row r="554" spans="1:13" ht="14.25" customHeight="1" x14ac:dyDescent="0.2">
      <c r="A554" s="11"/>
      <c r="B554" s="11"/>
      <c r="C554" s="11"/>
      <c r="D554" s="6"/>
      <c r="E554" s="11"/>
      <c r="F554" s="11"/>
      <c r="G554" s="11"/>
      <c r="H554" s="11"/>
      <c r="I554" s="11"/>
      <c r="J554" s="11"/>
      <c r="K554" s="11"/>
      <c r="L554" s="11"/>
      <c r="M554" s="11"/>
    </row>
    <row r="555" spans="1:13" ht="14.25" customHeight="1" x14ac:dyDescent="0.2">
      <c r="A555" s="11"/>
      <c r="B555" s="11"/>
      <c r="C555" s="11"/>
      <c r="D555" s="6"/>
      <c r="E555" s="11"/>
      <c r="F555" s="11"/>
      <c r="G555" s="11"/>
      <c r="H555" s="11"/>
      <c r="I555" s="11"/>
      <c r="J555" s="11"/>
      <c r="K555" s="11"/>
      <c r="L555" s="11"/>
      <c r="M555" s="11"/>
    </row>
    <row r="556" spans="1:13" ht="14.25" customHeight="1" x14ac:dyDescent="0.2">
      <c r="A556" s="11"/>
      <c r="B556" s="11"/>
      <c r="C556" s="11"/>
      <c r="D556" s="6"/>
      <c r="E556" s="11"/>
      <c r="F556" s="11"/>
      <c r="G556" s="11"/>
      <c r="H556" s="11"/>
      <c r="I556" s="11"/>
      <c r="J556" s="11"/>
      <c r="K556" s="11"/>
      <c r="L556" s="11"/>
      <c r="M556" s="11"/>
    </row>
    <row r="557" spans="1:13" ht="14.25" customHeight="1" x14ac:dyDescent="0.2">
      <c r="A557" s="11"/>
      <c r="B557" s="11"/>
      <c r="C557" s="11"/>
      <c r="D557" s="6"/>
      <c r="E557" s="11"/>
      <c r="F557" s="11"/>
      <c r="G557" s="11"/>
      <c r="H557" s="11"/>
      <c r="I557" s="11"/>
      <c r="J557" s="11"/>
      <c r="K557" s="11"/>
      <c r="L557" s="11"/>
      <c r="M557" s="11"/>
    </row>
    <row r="558" spans="1:13" ht="14.25" customHeight="1" x14ac:dyDescent="0.2">
      <c r="A558" s="11"/>
      <c r="B558" s="11"/>
      <c r="C558" s="11"/>
      <c r="D558" s="6"/>
      <c r="E558" s="11"/>
      <c r="F558" s="11"/>
      <c r="G558" s="11"/>
      <c r="H558" s="11"/>
      <c r="I558" s="11"/>
      <c r="J558" s="11"/>
      <c r="K558" s="11"/>
      <c r="L558" s="11"/>
      <c r="M558" s="11"/>
    </row>
    <row r="559" spans="1:13" ht="14.25" customHeight="1" x14ac:dyDescent="0.2">
      <c r="A559" s="11"/>
      <c r="B559" s="11"/>
      <c r="C559" s="11"/>
      <c r="D559" s="6"/>
      <c r="E559" s="11"/>
      <c r="F559" s="11"/>
      <c r="G559" s="11"/>
      <c r="H559" s="11"/>
      <c r="I559" s="11"/>
      <c r="J559" s="11"/>
      <c r="K559" s="11"/>
      <c r="L559" s="11"/>
      <c r="M559" s="11"/>
    </row>
    <row r="560" spans="1:13" ht="14.25" customHeight="1" x14ac:dyDescent="0.2">
      <c r="A560" s="11"/>
      <c r="B560" s="11"/>
      <c r="C560" s="11"/>
      <c r="D560" s="6"/>
      <c r="E560" s="11"/>
      <c r="F560" s="11"/>
      <c r="G560" s="11"/>
      <c r="H560" s="11"/>
      <c r="I560" s="11"/>
      <c r="J560" s="11"/>
      <c r="K560" s="11"/>
      <c r="L560" s="11"/>
      <c r="M560" s="11"/>
    </row>
    <row r="561" spans="1:13" ht="14.25" customHeight="1" x14ac:dyDescent="0.2">
      <c r="A561" s="11"/>
      <c r="B561" s="11"/>
      <c r="C561" s="11"/>
      <c r="D561" s="6"/>
      <c r="E561" s="11"/>
      <c r="F561" s="11"/>
      <c r="G561" s="11"/>
      <c r="H561" s="11"/>
      <c r="I561" s="11"/>
      <c r="J561" s="11"/>
      <c r="K561" s="11"/>
      <c r="L561" s="11"/>
      <c r="M561" s="11"/>
    </row>
    <row r="562" spans="1:13" ht="14.25" customHeight="1" x14ac:dyDescent="0.2">
      <c r="A562" s="11"/>
      <c r="B562" s="11"/>
      <c r="C562" s="11"/>
      <c r="D562" s="6"/>
      <c r="E562" s="11"/>
      <c r="F562" s="11"/>
      <c r="G562" s="11"/>
      <c r="H562" s="11"/>
      <c r="I562" s="11"/>
      <c r="J562" s="11"/>
      <c r="K562" s="11"/>
      <c r="L562" s="11"/>
      <c r="M562" s="11"/>
    </row>
    <row r="563" spans="1:13" ht="14.25" customHeight="1" x14ac:dyDescent="0.2">
      <c r="A563" s="11"/>
      <c r="B563" s="11"/>
      <c r="C563" s="11"/>
      <c r="D563" s="6"/>
      <c r="E563" s="11"/>
      <c r="F563" s="11"/>
      <c r="G563" s="11"/>
      <c r="H563" s="11"/>
      <c r="I563" s="11"/>
      <c r="J563" s="11"/>
      <c r="K563" s="11"/>
      <c r="L563" s="11"/>
      <c r="M563" s="11"/>
    </row>
    <row r="564" spans="1:13" ht="14.25" customHeight="1" x14ac:dyDescent="0.2">
      <c r="A564" s="11"/>
      <c r="B564" s="11"/>
      <c r="C564" s="11"/>
      <c r="D564" s="6"/>
      <c r="E564" s="11"/>
      <c r="F564" s="11"/>
      <c r="G564" s="11"/>
      <c r="H564" s="11"/>
      <c r="I564" s="11"/>
      <c r="J564" s="11"/>
      <c r="K564" s="11"/>
      <c r="L564" s="11"/>
      <c r="M564" s="11"/>
    </row>
    <row r="565" spans="1:13" ht="14.25" customHeight="1" x14ac:dyDescent="0.2">
      <c r="A565" s="11"/>
      <c r="B565" s="11"/>
      <c r="C565" s="11"/>
      <c r="D565" s="6"/>
      <c r="E565" s="11"/>
      <c r="F565" s="11"/>
      <c r="G565" s="11"/>
      <c r="H565" s="11"/>
      <c r="I565" s="11"/>
      <c r="J565" s="11"/>
      <c r="K565" s="11"/>
      <c r="L565" s="11"/>
      <c r="M565" s="11"/>
    </row>
    <row r="566" spans="1:13" ht="14.25" customHeight="1" x14ac:dyDescent="0.2">
      <c r="A566" s="11"/>
      <c r="B566" s="11"/>
      <c r="C566" s="11"/>
      <c r="D566" s="6"/>
      <c r="E566" s="11"/>
      <c r="F566" s="11"/>
      <c r="G566" s="11"/>
      <c r="H566" s="11"/>
      <c r="I566" s="11"/>
      <c r="J566" s="11"/>
      <c r="K566" s="11"/>
      <c r="L566" s="11"/>
      <c r="M566" s="11"/>
    </row>
    <row r="567" spans="1:13" ht="14.25" customHeight="1" x14ac:dyDescent="0.2">
      <c r="A567" s="11"/>
      <c r="B567" s="11"/>
      <c r="C567" s="11"/>
      <c r="D567" s="6"/>
      <c r="E567" s="11"/>
      <c r="F567" s="11"/>
      <c r="G567" s="11"/>
      <c r="H567" s="11"/>
      <c r="I567" s="11"/>
      <c r="J567" s="11"/>
      <c r="K567" s="11"/>
      <c r="L567" s="11"/>
      <c r="M567" s="11"/>
    </row>
    <row r="568" spans="1:13" ht="14.25" customHeight="1" x14ac:dyDescent="0.2">
      <c r="A568" s="11"/>
      <c r="B568" s="11"/>
      <c r="C568" s="11"/>
      <c r="D568" s="6"/>
      <c r="E568" s="11"/>
      <c r="F568" s="11"/>
      <c r="G568" s="11"/>
      <c r="H568" s="11"/>
      <c r="I568" s="11"/>
      <c r="J568" s="11"/>
      <c r="K568" s="11"/>
      <c r="L568" s="11"/>
      <c r="M568" s="11"/>
    </row>
    <row r="569" spans="1:13" ht="14.25" customHeight="1" x14ac:dyDescent="0.2">
      <c r="A569" s="11"/>
      <c r="B569" s="11"/>
      <c r="C569" s="11"/>
      <c r="D569" s="6"/>
      <c r="E569" s="11"/>
      <c r="F569" s="11"/>
      <c r="G569" s="11"/>
      <c r="H569" s="11"/>
      <c r="I569" s="11"/>
      <c r="J569" s="11"/>
      <c r="K569" s="11"/>
      <c r="L569" s="11"/>
      <c r="M569" s="11"/>
    </row>
    <row r="570" spans="1:13" ht="14.25" customHeight="1" x14ac:dyDescent="0.2">
      <c r="A570" s="11"/>
      <c r="B570" s="11"/>
      <c r="C570" s="11"/>
      <c r="D570" s="6"/>
      <c r="E570" s="11"/>
      <c r="F570" s="11"/>
      <c r="G570" s="11"/>
      <c r="H570" s="11"/>
      <c r="I570" s="11"/>
      <c r="J570" s="11"/>
      <c r="K570" s="11"/>
      <c r="L570" s="11"/>
      <c r="M570" s="11"/>
    </row>
    <row r="571" spans="1:13" ht="14.25" customHeight="1" x14ac:dyDescent="0.2">
      <c r="A571" s="11"/>
      <c r="B571" s="11"/>
      <c r="C571" s="11"/>
      <c r="D571" s="6"/>
      <c r="E571" s="11"/>
      <c r="F571" s="11"/>
      <c r="G571" s="11"/>
      <c r="H571" s="11"/>
      <c r="I571" s="11"/>
      <c r="J571" s="11"/>
      <c r="K571" s="11"/>
      <c r="L571" s="11"/>
      <c r="M571" s="11"/>
    </row>
    <row r="572" spans="1:13" ht="14.25" customHeight="1" x14ac:dyDescent="0.2">
      <c r="A572" s="11"/>
      <c r="B572" s="11"/>
      <c r="C572" s="11"/>
      <c r="D572" s="6"/>
      <c r="E572" s="11"/>
      <c r="F572" s="11"/>
      <c r="G572" s="11"/>
      <c r="H572" s="11"/>
      <c r="I572" s="11"/>
      <c r="J572" s="11"/>
      <c r="K572" s="11"/>
      <c r="L572" s="11"/>
      <c r="M572" s="11"/>
    </row>
    <row r="573" spans="1:13" ht="14.25" customHeight="1" x14ac:dyDescent="0.2">
      <c r="A573" s="11"/>
      <c r="B573" s="11"/>
      <c r="C573" s="11"/>
      <c r="D573" s="6"/>
      <c r="E573" s="11"/>
      <c r="F573" s="11"/>
      <c r="G573" s="11"/>
      <c r="H573" s="11"/>
      <c r="I573" s="11"/>
      <c r="J573" s="11"/>
      <c r="K573" s="11"/>
      <c r="L573" s="11"/>
      <c r="M573" s="11"/>
    </row>
    <row r="574" spans="1:13" ht="14.25" customHeight="1" x14ac:dyDescent="0.2">
      <c r="A574" s="11"/>
      <c r="B574" s="11"/>
      <c r="C574" s="11"/>
      <c r="D574" s="6"/>
      <c r="E574" s="11"/>
      <c r="F574" s="11"/>
      <c r="G574" s="11"/>
      <c r="H574" s="11"/>
      <c r="I574" s="11"/>
      <c r="J574" s="11"/>
      <c r="K574" s="11"/>
      <c r="L574" s="11"/>
      <c r="M574" s="11"/>
    </row>
    <row r="575" spans="1:13" ht="14.25" customHeight="1" x14ac:dyDescent="0.2">
      <c r="A575" s="11"/>
      <c r="B575" s="11"/>
      <c r="C575" s="11"/>
      <c r="D575" s="6"/>
      <c r="E575" s="11"/>
      <c r="F575" s="11"/>
      <c r="G575" s="11"/>
      <c r="H575" s="11"/>
      <c r="I575" s="11"/>
      <c r="J575" s="11"/>
      <c r="K575" s="11"/>
      <c r="L575" s="11"/>
      <c r="M575" s="11"/>
    </row>
    <row r="576" spans="1:13" ht="14.25" customHeight="1" x14ac:dyDescent="0.2">
      <c r="A576" s="11"/>
      <c r="B576" s="11"/>
      <c r="C576" s="11"/>
      <c r="D576" s="6"/>
      <c r="E576" s="11"/>
      <c r="F576" s="11"/>
      <c r="G576" s="11"/>
      <c r="H576" s="11"/>
      <c r="I576" s="11"/>
      <c r="J576" s="11"/>
      <c r="K576" s="11"/>
      <c r="L576" s="11"/>
      <c r="M576" s="11"/>
    </row>
    <row r="577" spans="1:13" ht="14.25" customHeight="1" x14ac:dyDescent="0.2">
      <c r="A577" s="11"/>
      <c r="B577" s="11"/>
      <c r="C577" s="11"/>
      <c r="D577" s="6"/>
      <c r="E577" s="11"/>
      <c r="F577" s="11"/>
      <c r="G577" s="11"/>
      <c r="H577" s="11"/>
      <c r="I577" s="11"/>
      <c r="J577" s="11"/>
      <c r="K577" s="11"/>
      <c r="L577" s="11"/>
      <c r="M577" s="11"/>
    </row>
    <row r="578" spans="1:13" ht="14.25" customHeight="1" x14ac:dyDescent="0.2">
      <c r="A578" s="11"/>
      <c r="B578" s="11"/>
      <c r="C578" s="11"/>
      <c r="D578" s="6"/>
      <c r="E578" s="11"/>
      <c r="F578" s="11"/>
      <c r="G578" s="11"/>
      <c r="H578" s="11"/>
      <c r="I578" s="11"/>
      <c r="J578" s="11"/>
      <c r="K578" s="11"/>
      <c r="L578" s="11"/>
      <c r="M578" s="11"/>
    </row>
    <row r="579" spans="1:13" ht="14.25" customHeight="1" x14ac:dyDescent="0.2">
      <c r="A579" s="11"/>
      <c r="B579" s="11"/>
      <c r="C579" s="11"/>
      <c r="D579" s="6"/>
      <c r="E579" s="11"/>
      <c r="F579" s="11"/>
      <c r="G579" s="11"/>
      <c r="H579" s="11"/>
      <c r="I579" s="11"/>
      <c r="J579" s="11"/>
      <c r="K579" s="11"/>
      <c r="L579" s="11"/>
      <c r="M579" s="11"/>
    </row>
    <row r="580" spans="1:13" ht="14.25" customHeight="1" x14ac:dyDescent="0.2">
      <c r="A580" s="11"/>
      <c r="B580" s="11"/>
      <c r="C580" s="11"/>
      <c r="D580" s="6"/>
      <c r="E580" s="11"/>
      <c r="F580" s="11"/>
      <c r="G580" s="11"/>
      <c r="H580" s="11"/>
      <c r="I580" s="11"/>
      <c r="J580" s="11"/>
      <c r="K580" s="11"/>
      <c r="L580" s="11"/>
      <c r="M580" s="11"/>
    </row>
    <row r="581" spans="1:13" ht="14.25" customHeight="1" x14ac:dyDescent="0.2">
      <c r="A581" s="11"/>
      <c r="B581" s="11"/>
      <c r="C581" s="11"/>
      <c r="D581" s="6"/>
      <c r="E581" s="11"/>
      <c r="F581" s="11"/>
      <c r="G581" s="11"/>
      <c r="H581" s="11"/>
      <c r="I581" s="11"/>
      <c r="J581" s="11"/>
      <c r="K581" s="11"/>
      <c r="L581" s="11"/>
      <c r="M581" s="11"/>
    </row>
    <row r="582" spans="1:13" ht="14.25" customHeight="1" x14ac:dyDescent="0.2">
      <c r="A582" s="11"/>
      <c r="B582" s="11"/>
      <c r="C582" s="11"/>
      <c r="D582" s="6"/>
      <c r="E582" s="11"/>
      <c r="F582" s="11"/>
      <c r="G582" s="11"/>
      <c r="H582" s="11"/>
      <c r="I582" s="11"/>
      <c r="J582" s="11"/>
      <c r="K582" s="11"/>
      <c r="L582" s="11"/>
      <c r="M582" s="11"/>
    </row>
    <row r="583" spans="1:13" ht="14.25" customHeight="1" x14ac:dyDescent="0.2">
      <c r="A583" s="11"/>
      <c r="B583" s="11"/>
      <c r="C583" s="11"/>
      <c r="D583" s="6"/>
      <c r="E583" s="11"/>
      <c r="F583" s="11"/>
      <c r="G583" s="11"/>
      <c r="H583" s="11"/>
      <c r="I583" s="11"/>
      <c r="J583" s="11"/>
      <c r="K583" s="11"/>
      <c r="L583" s="11"/>
      <c r="M583" s="11"/>
    </row>
    <row r="584" spans="1:13" ht="14.25" customHeight="1" x14ac:dyDescent="0.2">
      <c r="A584" s="11"/>
      <c r="B584" s="11"/>
      <c r="C584" s="11"/>
      <c r="D584" s="6"/>
      <c r="E584" s="11"/>
      <c r="F584" s="11"/>
      <c r="G584" s="11"/>
      <c r="H584" s="11"/>
      <c r="I584" s="11"/>
      <c r="J584" s="11"/>
      <c r="K584" s="11"/>
      <c r="L584" s="11"/>
      <c r="M584" s="11"/>
    </row>
    <row r="585" spans="1:13" ht="14.25" customHeight="1" x14ac:dyDescent="0.2">
      <c r="A585" s="11"/>
      <c r="B585" s="11"/>
      <c r="C585" s="11"/>
      <c r="D585" s="6"/>
      <c r="E585" s="11"/>
      <c r="F585" s="11"/>
      <c r="G585" s="11"/>
      <c r="H585" s="11"/>
      <c r="I585" s="11"/>
      <c r="J585" s="11"/>
      <c r="K585" s="11"/>
      <c r="L585" s="11"/>
      <c r="M585" s="11"/>
    </row>
    <row r="586" spans="1:13" ht="14.25" customHeight="1" x14ac:dyDescent="0.2">
      <c r="A586" s="11"/>
      <c r="B586" s="11"/>
      <c r="C586" s="11"/>
      <c r="D586" s="6"/>
      <c r="E586" s="11"/>
      <c r="F586" s="11"/>
      <c r="G586" s="11"/>
      <c r="H586" s="11"/>
      <c r="I586" s="11"/>
      <c r="J586" s="11"/>
      <c r="K586" s="11"/>
      <c r="L586" s="11"/>
      <c r="M586" s="11"/>
    </row>
    <row r="587" spans="1:13" ht="14.25" customHeight="1" x14ac:dyDescent="0.2">
      <c r="A587" s="11"/>
      <c r="B587" s="11"/>
      <c r="C587" s="11"/>
      <c r="D587" s="6"/>
      <c r="E587" s="11"/>
      <c r="F587" s="11"/>
      <c r="G587" s="11"/>
      <c r="H587" s="11"/>
      <c r="I587" s="11"/>
      <c r="J587" s="11"/>
      <c r="K587" s="11"/>
      <c r="L587" s="11"/>
      <c r="M587" s="11"/>
    </row>
    <row r="588" spans="1:13" ht="14.25" customHeight="1" x14ac:dyDescent="0.2">
      <c r="A588" s="11"/>
      <c r="B588" s="11"/>
      <c r="C588" s="11"/>
      <c r="D588" s="6"/>
      <c r="E588" s="11"/>
      <c r="F588" s="11"/>
      <c r="G588" s="11"/>
      <c r="H588" s="11"/>
      <c r="I588" s="11"/>
      <c r="J588" s="11"/>
      <c r="K588" s="11"/>
      <c r="L588" s="11"/>
      <c r="M588" s="11"/>
    </row>
    <row r="589" spans="1:13" ht="14.25" customHeight="1" x14ac:dyDescent="0.2">
      <c r="A589" s="11"/>
      <c r="B589" s="11"/>
      <c r="C589" s="11"/>
      <c r="D589" s="6"/>
      <c r="E589" s="11"/>
      <c r="F589" s="11"/>
      <c r="G589" s="11"/>
      <c r="H589" s="11"/>
      <c r="I589" s="11"/>
      <c r="J589" s="11"/>
      <c r="K589" s="11"/>
      <c r="L589" s="11"/>
      <c r="M589" s="11"/>
    </row>
    <row r="590" spans="1:13" ht="14.25" customHeight="1" x14ac:dyDescent="0.2">
      <c r="A590" s="11"/>
      <c r="B590" s="11"/>
      <c r="C590" s="11"/>
      <c r="D590" s="6"/>
      <c r="E590" s="11"/>
      <c r="F590" s="11"/>
      <c r="G590" s="11"/>
      <c r="H590" s="11"/>
      <c r="I590" s="11"/>
      <c r="J590" s="11"/>
      <c r="K590" s="11"/>
      <c r="L590" s="11"/>
      <c r="M590" s="11"/>
    </row>
    <row r="591" spans="1:13" ht="14.25" customHeight="1" x14ac:dyDescent="0.2">
      <c r="A591" s="11"/>
      <c r="B591" s="11"/>
      <c r="C591" s="11"/>
      <c r="D591" s="6"/>
      <c r="E591" s="11"/>
      <c r="F591" s="11"/>
      <c r="G591" s="11"/>
      <c r="H591" s="11"/>
      <c r="I591" s="11"/>
      <c r="J591" s="11"/>
      <c r="K591" s="11"/>
      <c r="L591" s="11"/>
      <c r="M591" s="11"/>
    </row>
    <row r="592" spans="1:13" ht="14.25" customHeight="1" x14ac:dyDescent="0.2">
      <c r="A592" s="11"/>
      <c r="B592" s="11"/>
      <c r="C592" s="11"/>
      <c r="D592" s="6"/>
      <c r="E592" s="11"/>
      <c r="F592" s="11"/>
      <c r="G592" s="11"/>
      <c r="H592" s="11"/>
      <c r="I592" s="11"/>
      <c r="J592" s="11"/>
      <c r="K592" s="11"/>
      <c r="L592" s="11"/>
      <c r="M592" s="11"/>
    </row>
    <row r="593" spans="1:13" ht="14.25" customHeight="1" x14ac:dyDescent="0.2">
      <c r="A593" s="11"/>
      <c r="B593" s="11"/>
      <c r="C593" s="11"/>
      <c r="D593" s="6"/>
      <c r="E593" s="11"/>
      <c r="F593" s="11"/>
      <c r="G593" s="11"/>
      <c r="H593" s="11"/>
      <c r="I593" s="11"/>
      <c r="J593" s="11"/>
      <c r="K593" s="11"/>
      <c r="L593" s="11"/>
      <c r="M593" s="11"/>
    </row>
    <row r="594" spans="1:13" ht="14.25" customHeight="1" x14ac:dyDescent="0.2">
      <c r="A594" s="11"/>
      <c r="B594" s="11"/>
      <c r="C594" s="11"/>
      <c r="D594" s="6"/>
      <c r="E594" s="11"/>
      <c r="F594" s="11"/>
      <c r="G594" s="11"/>
      <c r="H594" s="11"/>
      <c r="I594" s="11"/>
      <c r="J594" s="11"/>
      <c r="K594" s="11"/>
      <c r="L594" s="11"/>
      <c r="M594" s="11"/>
    </row>
    <row r="595" spans="1:13" ht="14.25" customHeight="1" x14ac:dyDescent="0.2">
      <c r="A595" s="11"/>
      <c r="B595" s="11"/>
      <c r="C595" s="11"/>
      <c r="D595" s="6"/>
      <c r="E595" s="11"/>
      <c r="F595" s="11"/>
      <c r="G595" s="11"/>
      <c r="H595" s="11"/>
      <c r="I595" s="11"/>
      <c r="J595" s="11"/>
      <c r="K595" s="11"/>
      <c r="L595" s="11"/>
      <c r="M595" s="11"/>
    </row>
    <row r="596" spans="1:13" ht="14.25" customHeight="1" x14ac:dyDescent="0.2">
      <c r="A596" s="11"/>
      <c r="B596" s="11"/>
      <c r="C596" s="11"/>
      <c r="D596" s="6"/>
      <c r="E596" s="11"/>
      <c r="F596" s="11"/>
      <c r="G596" s="11"/>
      <c r="H596" s="11"/>
      <c r="I596" s="11"/>
      <c r="J596" s="11"/>
      <c r="K596" s="11"/>
      <c r="L596" s="11"/>
      <c r="M596" s="11"/>
    </row>
    <row r="597" spans="1:13" ht="14.25" customHeight="1" x14ac:dyDescent="0.2">
      <c r="A597" s="11"/>
      <c r="B597" s="11"/>
      <c r="C597" s="11"/>
      <c r="D597" s="6"/>
      <c r="E597" s="11"/>
      <c r="F597" s="11"/>
      <c r="G597" s="11"/>
      <c r="H597" s="11"/>
      <c r="I597" s="11"/>
      <c r="J597" s="11"/>
      <c r="K597" s="11"/>
      <c r="L597" s="11"/>
      <c r="M597" s="11"/>
    </row>
    <row r="598" spans="1:13" ht="14.25" customHeight="1" x14ac:dyDescent="0.2">
      <c r="A598" s="11"/>
      <c r="B598" s="11"/>
      <c r="C598" s="11"/>
      <c r="D598" s="6"/>
      <c r="E598" s="11"/>
      <c r="F598" s="11"/>
      <c r="G598" s="11"/>
      <c r="H598" s="11"/>
      <c r="I598" s="11"/>
      <c r="J598" s="11"/>
      <c r="K598" s="11"/>
      <c r="L598" s="11"/>
      <c r="M598" s="11"/>
    </row>
    <row r="599" spans="1:13" ht="14.25" customHeight="1" x14ac:dyDescent="0.2">
      <c r="A599" s="11"/>
      <c r="B599" s="11"/>
      <c r="C599" s="11"/>
      <c r="D599" s="6"/>
      <c r="E599" s="11"/>
      <c r="F599" s="11"/>
      <c r="G599" s="11"/>
      <c r="H599" s="11"/>
      <c r="I599" s="11"/>
      <c r="J599" s="11"/>
      <c r="K599" s="11"/>
      <c r="L599" s="11"/>
      <c r="M599" s="11"/>
    </row>
    <row r="600" spans="1:13" ht="14.25" customHeight="1" x14ac:dyDescent="0.2">
      <c r="A600" s="11"/>
      <c r="B600" s="11"/>
      <c r="C600" s="11"/>
      <c r="D600" s="6"/>
      <c r="E600" s="11"/>
      <c r="F600" s="11"/>
      <c r="G600" s="11"/>
      <c r="H600" s="11"/>
      <c r="I600" s="11"/>
      <c r="J600" s="11"/>
      <c r="K600" s="11"/>
      <c r="L600" s="11"/>
      <c r="M600" s="11"/>
    </row>
    <row r="601" spans="1:13" ht="14.25" customHeight="1" x14ac:dyDescent="0.2">
      <c r="A601" s="11"/>
      <c r="B601" s="11"/>
      <c r="C601" s="11"/>
      <c r="D601" s="6"/>
      <c r="E601" s="11"/>
      <c r="F601" s="11"/>
      <c r="G601" s="11"/>
      <c r="H601" s="11"/>
      <c r="I601" s="11"/>
      <c r="J601" s="11"/>
      <c r="K601" s="11"/>
      <c r="L601" s="11"/>
      <c r="M601" s="11"/>
    </row>
    <row r="602" spans="1:13" ht="14.25" customHeight="1" x14ac:dyDescent="0.2">
      <c r="A602" s="11"/>
      <c r="B602" s="11"/>
      <c r="C602" s="11"/>
      <c r="D602" s="6"/>
      <c r="E602" s="11"/>
      <c r="F602" s="11"/>
      <c r="G602" s="11"/>
      <c r="H602" s="11"/>
      <c r="I602" s="11"/>
      <c r="J602" s="11"/>
      <c r="K602" s="11"/>
      <c r="L602" s="11"/>
      <c r="M602" s="11"/>
    </row>
    <row r="603" spans="1:13" ht="14.25" customHeight="1" x14ac:dyDescent="0.2">
      <c r="A603" s="11"/>
      <c r="B603" s="11"/>
      <c r="C603" s="11"/>
      <c r="D603" s="6"/>
      <c r="E603" s="11"/>
      <c r="F603" s="11"/>
      <c r="G603" s="11"/>
      <c r="H603" s="11"/>
      <c r="I603" s="11"/>
      <c r="J603" s="11"/>
      <c r="K603" s="11"/>
      <c r="L603" s="11"/>
      <c r="M603" s="11"/>
    </row>
    <row r="604" spans="1:13" ht="14.25" customHeight="1" x14ac:dyDescent="0.2">
      <c r="A604" s="11"/>
      <c r="B604" s="11"/>
      <c r="C604" s="11"/>
      <c r="D604" s="6"/>
      <c r="E604" s="11"/>
      <c r="F604" s="11"/>
      <c r="G604" s="11"/>
      <c r="H604" s="11"/>
      <c r="I604" s="11"/>
      <c r="J604" s="11"/>
      <c r="K604" s="11"/>
      <c r="L604" s="11"/>
      <c r="M604" s="11"/>
    </row>
    <row r="605" spans="1:13" ht="14.25" customHeight="1" x14ac:dyDescent="0.2">
      <c r="A605" s="11"/>
      <c r="B605" s="11"/>
      <c r="C605" s="11"/>
      <c r="D605" s="6"/>
      <c r="E605" s="11"/>
      <c r="F605" s="11"/>
      <c r="G605" s="11"/>
      <c r="H605" s="11"/>
      <c r="I605" s="11"/>
      <c r="J605" s="11"/>
      <c r="K605" s="11"/>
      <c r="L605" s="11"/>
      <c r="M605" s="11"/>
    </row>
    <row r="606" spans="1:13" ht="14.25" customHeight="1" x14ac:dyDescent="0.2">
      <c r="A606" s="11"/>
      <c r="B606" s="11"/>
      <c r="C606" s="11"/>
      <c r="D606" s="6"/>
      <c r="E606" s="11"/>
      <c r="F606" s="11"/>
      <c r="G606" s="11"/>
      <c r="H606" s="11"/>
      <c r="I606" s="11"/>
      <c r="J606" s="11"/>
      <c r="K606" s="11"/>
      <c r="L606" s="11"/>
      <c r="M606" s="11"/>
    </row>
    <row r="607" spans="1:13" ht="14.25" customHeight="1" x14ac:dyDescent="0.2">
      <c r="A607" s="11"/>
      <c r="B607" s="11"/>
      <c r="C607" s="11"/>
      <c r="D607" s="6"/>
      <c r="E607" s="11"/>
      <c r="F607" s="11"/>
      <c r="G607" s="11"/>
      <c r="H607" s="11"/>
      <c r="I607" s="11"/>
      <c r="J607" s="11"/>
      <c r="K607" s="11"/>
      <c r="L607" s="11"/>
      <c r="M607" s="11"/>
    </row>
    <row r="608" spans="1:13" ht="14.25" customHeight="1" x14ac:dyDescent="0.2">
      <c r="A608" s="11"/>
      <c r="B608" s="11"/>
      <c r="C608" s="11"/>
      <c r="D608" s="6"/>
      <c r="E608" s="11"/>
      <c r="F608" s="11"/>
      <c r="G608" s="11"/>
      <c r="H608" s="11"/>
      <c r="I608" s="11"/>
      <c r="J608" s="11"/>
      <c r="K608" s="11"/>
      <c r="L608" s="11"/>
      <c r="M608" s="11"/>
    </row>
    <row r="609" spans="1:13" ht="14.25" customHeight="1" x14ac:dyDescent="0.2">
      <c r="A609" s="11"/>
      <c r="B609" s="11"/>
      <c r="C609" s="11"/>
      <c r="D609" s="6"/>
      <c r="E609" s="11"/>
      <c r="F609" s="11"/>
      <c r="G609" s="11"/>
      <c r="H609" s="11"/>
      <c r="I609" s="11"/>
      <c r="J609" s="11"/>
      <c r="K609" s="11"/>
      <c r="L609" s="11"/>
      <c r="M609" s="11"/>
    </row>
    <row r="610" spans="1:13" ht="14.25" customHeight="1" x14ac:dyDescent="0.2">
      <c r="A610" s="11"/>
      <c r="B610" s="11"/>
      <c r="C610" s="11"/>
      <c r="D610" s="6"/>
      <c r="E610" s="11"/>
      <c r="F610" s="11"/>
      <c r="G610" s="11"/>
      <c r="H610" s="11"/>
      <c r="I610" s="11"/>
      <c r="J610" s="11"/>
      <c r="K610" s="11"/>
      <c r="L610" s="11"/>
      <c r="M610" s="11"/>
    </row>
    <row r="611" spans="1:13" ht="14.25" customHeight="1" x14ac:dyDescent="0.2">
      <c r="A611" s="11"/>
      <c r="B611" s="11"/>
      <c r="C611" s="11"/>
      <c r="D611" s="6"/>
      <c r="E611" s="11"/>
      <c r="F611" s="11"/>
      <c r="G611" s="11"/>
      <c r="H611" s="11"/>
      <c r="I611" s="11"/>
      <c r="J611" s="11"/>
      <c r="K611" s="11"/>
      <c r="L611" s="11"/>
      <c r="M611" s="11"/>
    </row>
    <row r="612" spans="1:13" ht="14.25" customHeight="1" x14ac:dyDescent="0.2">
      <c r="A612" s="11"/>
      <c r="B612" s="11"/>
      <c r="C612" s="11"/>
      <c r="D612" s="6"/>
      <c r="E612" s="11"/>
      <c r="F612" s="11"/>
      <c r="G612" s="11"/>
      <c r="H612" s="11"/>
      <c r="I612" s="11"/>
      <c r="J612" s="11"/>
      <c r="K612" s="11"/>
      <c r="L612" s="11"/>
      <c r="M612" s="11"/>
    </row>
    <row r="613" spans="1:13" ht="14.25" customHeight="1" x14ac:dyDescent="0.2">
      <c r="A613" s="11"/>
      <c r="B613" s="11"/>
      <c r="C613" s="11"/>
      <c r="D613" s="6"/>
      <c r="E613" s="11"/>
      <c r="F613" s="11"/>
      <c r="G613" s="11"/>
      <c r="H613" s="11"/>
      <c r="I613" s="11"/>
      <c r="J613" s="11"/>
      <c r="K613" s="11"/>
      <c r="L613" s="11"/>
      <c r="M613" s="11"/>
    </row>
    <row r="614" spans="1:13" ht="14.25" customHeight="1" x14ac:dyDescent="0.2">
      <c r="A614" s="11"/>
      <c r="B614" s="11"/>
      <c r="C614" s="11"/>
      <c r="D614" s="6"/>
      <c r="E614" s="11"/>
      <c r="F614" s="11"/>
      <c r="G614" s="11"/>
      <c r="H614" s="11"/>
      <c r="I614" s="11"/>
      <c r="J614" s="11"/>
      <c r="K614" s="11"/>
      <c r="L614" s="11"/>
      <c r="M614" s="11"/>
    </row>
    <row r="615" spans="1:13" ht="14.25" customHeight="1" x14ac:dyDescent="0.2">
      <c r="A615" s="11"/>
      <c r="B615" s="11"/>
      <c r="C615" s="11"/>
      <c r="D615" s="6"/>
      <c r="E615" s="11"/>
      <c r="F615" s="11"/>
      <c r="G615" s="11"/>
      <c r="H615" s="11"/>
      <c r="I615" s="11"/>
      <c r="J615" s="11"/>
      <c r="K615" s="11"/>
      <c r="L615" s="11"/>
      <c r="M615" s="11"/>
    </row>
    <row r="616" spans="1:13" ht="14.25" customHeight="1" x14ac:dyDescent="0.2">
      <c r="A616" s="11"/>
      <c r="B616" s="11"/>
      <c r="C616" s="11"/>
      <c r="D616" s="6"/>
      <c r="E616" s="11"/>
      <c r="F616" s="11"/>
      <c r="G616" s="11"/>
      <c r="H616" s="11"/>
      <c r="I616" s="11"/>
      <c r="J616" s="11"/>
      <c r="K616" s="11"/>
      <c r="L616" s="11"/>
      <c r="M616" s="11"/>
    </row>
    <row r="617" spans="1:13" ht="14.25" customHeight="1" x14ac:dyDescent="0.2">
      <c r="A617" s="11"/>
      <c r="B617" s="11"/>
      <c r="C617" s="11"/>
      <c r="D617" s="6"/>
      <c r="E617" s="11"/>
      <c r="F617" s="11"/>
      <c r="G617" s="11"/>
      <c r="H617" s="11"/>
      <c r="I617" s="11"/>
      <c r="J617" s="11"/>
      <c r="K617" s="11"/>
      <c r="L617" s="11"/>
      <c r="M617" s="11"/>
    </row>
    <row r="618" spans="1:13" ht="14.25" customHeight="1" x14ac:dyDescent="0.2">
      <c r="A618" s="11"/>
      <c r="B618" s="11"/>
      <c r="C618" s="11"/>
      <c r="D618" s="6"/>
      <c r="E618" s="11"/>
      <c r="F618" s="11"/>
      <c r="G618" s="11"/>
      <c r="H618" s="11"/>
      <c r="I618" s="11"/>
      <c r="J618" s="11"/>
      <c r="K618" s="11"/>
      <c r="L618" s="11"/>
      <c r="M618" s="11"/>
    </row>
    <row r="619" spans="1:13" ht="14.25" customHeight="1" x14ac:dyDescent="0.2">
      <c r="A619" s="11"/>
      <c r="B619" s="11"/>
      <c r="C619" s="11"/>
      <c r="D619" s="6"/>
      <c r="E619" s="11"/>
      <c r="F619" s="11"/>
      <c r="G619" s="11"/>
      <c r="H619" s="11"/>
      <c r="I619" s="11"/>
      <c r="J619" s="11"/>
      <c r="K619" s="11"/>
      <c r="L619" s="11"/>
      <c r="M619" s="11"/>
    </row>
    <row r="620" spans="1:13" ht="14.25" customHeight="1" x14ac:dyDescent="0.2">
      <c r="A620" s="11"/>
      <c r="B620" s="11"/>
      <c r="C620" s="11"/>
      <c r="D620" s="6"/>
      <c r="E620" s="11"/>
      <c r="F620" s="11"/>
      <c r="G620" s="11"/>
      <c r="H620" s="11"/>
      <c r="I620" s="11"/>
      <c r="J620" s="11"/>
      <c r="K620" s="11"/>
      <c r="L620" s="11"/>
      <c r="M620" s="11"/>
    </row>
    <row r="621" spans="1:13" ht="14.25" customHeight="1" x14ac:dyDescent="0.2">
      <c r="A621" s="11"/>
      <c r="B621" s="11"/>
      <c r="C621" s="11"/>
      <c r="D621" s="6"/>
      <c r="E621" s="11"/>
      <c r="F621" s="11"/>
      <c r="G621" s="11"/>
      <c r="H621" s="11"/>
      <c r="I621" s="11"/>
      <c r="J621" s="11"/>
      <c r="K621" s="11"/>
      <c r="L621" s="11"/>
      <c r="M621" s="11"/>
    </row>
    <row r="622" spans="1:13" ht="14.25" customHeight="1" x14ac:dyDescent="0.2">
      <c r="A622" s="11"/>
      <c r="B622" s="11"/>
      <c r="C622" s="11"/>
      <c r="D622" s="6"/>
      <c r="E622" s="11"/>
      <c r="F622" s="11"/>
      <c r="G622" s="11"/>
      <c r="H622" s="11"/>
      <c r="I622" s="11"/>
      <c r="J622" s="11"/>
      <c r="K622" s="11"/>
      <c r="L622" s="11"/>
      <c r="M622" s="11"/>
    </row>
    <row r="623" spans="1:13" ht="14.25" customHeight="1" x14ac:dyDescent="0.2">
      <c r="A623" s="11"/>
      <c r="B623" s="11"/>
      <c r="C623" s="11"/>
      <c r="D623" s="6"/>
      <c r="E623" s="11"/>
      <c r="F623" s="11"/>
      <c r="G623" s="11"/>
      <c r="H623" s="11"/>
      <c r="I623" s="11"/>
      <c r="J623" s="11"/>
      <c r="K623" s="11"/>
      <c r="L623" s="11"/>
      <c r="M623" s="11"/>
    </row>
    <row r="624" spans="1:13" ht="14.25" customHeight="1" x14ac:dyDescent="0.2">
      <c r="A624" s="11"/>
      <c r="B624" s="11"/>
      <c r="C624" s="11"/>
      <c r="D624" s="6"/>
      <c r="E624" s="11"/>
      <c r="F624" s="11"/>
      <c r="G624" s="11"/>
      <c r="H624" s="11"/>
      <c r="I624" s="11"/>
      <c r="J624" s="11"/>
      <c r="K624" s="11"/>
      <c r="L624" s="11"/>
      <c r="M624" s="11"/>
    </row>
    <row r="625" spans="1:13" ht="14.25" customHeight="1" x14ac:dyDescent="0.2">
      <c r="A625" s="11"/>
      <c r="B625" s="11"/>
      <c r="C625" s="11"/>
      <c r="D625" s="6"/>
      <c r="E625" s="11"/>
      <c r="F625" s="11"/>
      <c r="G625" s="11"/>
      <c r="H625" s="11"/>
      <c r="I625" s="11"/>
      <c r="J625" s="11"/>
      <c r="K625" s="11"/>
      <c r="L625" s="11"/>
      <c r="M625" s="11"/>
    </row>
    <row r="626" spans="1:13" ht="14.25" customHeight="1" x14ac:dyDescent="0.2">
      <c r="A626" s="11"/>
      <c r="B626" s="11"/>
      <c r="C626" s="11"/>
      <c r="D626" s="6"/>
      <c r="E626" s="11"/>
      <c r="F626" s="11"/>
      <c r="G626" s="11"/>
      <c r="H626" s="11"/>
      <c r="I626" s="11"/>
      <c r="J626" s="11"/>
      <c r="K626" s="11"/>
      <c r="L626" s="11"/>
      <c r="M626" s="11"/>
    </row>
    <row r="627" spans="1:13" ht="14.25" customHeight="1" x14ac:dyDescent="0.2">
      <c r="A627" s="11"/>
      <c r="B627" s="11"/>
      <c r="C627" s="11"/>
      <c r="D627" s="6"/>
      <c r="E627" s="11"/>
      <c r="F627" s="11"/>
      <c r="G627" s="11"/>
      <c r="H627" s="11"/>
      <c r="I627" s="11"/>
      <c r="J627" s="11"/>
      <c r="K627" s="11"/>
      <c r="L627" s="11"/>
      <c r="M627" s="11"/>
    </row>
    <row r="628" spans="1:13" ht="14.25" customHeight="1" x14ac:dyDescent="0.2">
      <c r="A628" s="11"/>
      <c r="B628" s="11"/>
      <c r="C628" s="11"/>
      <c r="D628" s="6"/>
      <c r="E628" s="11"/>
      <c r="F628" s="11"/>
      <c r="G628" s="11"/>
      <c r="H628" s="11"/>
      <c r="I628" s="11"/>
      <c r="J628" s="11"/>
      <c r="K628" s="11"/>
      <c r="L628" s="11"/>
      <c r="M628" s="11"/>
    </row>
    <row r="629" spans="1:13" ht="14.25" customHeight="1" x14ac:dyDescent="0.2">
      <c r="A629" s="11"/>
      <c r="B629" s="11"/>
      <c r="C629" s="11"/>
      <c r="D629" s="6"/>
      <c r="E629" s="11"/>
      <c r="F629" s="11"/>
      <c r="G629" s="11"/>
      <c r="H629" s="11"/>
      <c r="I629" s="11"/>
      <c r="J629" s="11"/>
      <c r="K629" s="11"/>
      <c r="L629" s="11"/>
      <c r="M629" s="11"/>
    </row>
    <row r="630" spans="1:13" ht="14.25" customHeight="1" x14ac:dyDescent="0.2">
      <c r="A630" s="11"/>
      <c r="B630" s="11"/>
      <c r="C630" s="11"/>
      <c r="D630" s="6"/>
      <c r="E630" s="11"/>
      <c r="F630" s="11"/>
      <c r="G630" s="11"/>
      <c r="H630" s="11"/>
      <c r="I630" s="11"/>
      <c r="J630" s="11"/>
      <c r="K630" s="11"/>
      <c r="L630" s="11"/>
      <c r="M630" s="11"/>
    </row>
    <row r="631" spans="1:13" ht="14.25" customHeight="1" x14ac:dyDescent="0.2">
      <c r="A631" s="11"/>
      <c r="B631" s="11"/>
      <c r="C631" s="11"/>
      <c r="D631" s="6"/>
      <c r="E631" s="11"/>
      <c r="F631" s="11"/>
      <c r="G631" s="11"/>
      <c r="H631" s="11"/>
      <c r="I631" s="11"/>
      <c r="J631" s="11"/>
      <c r="K631" s="11"/>
      <c r="L631" s="11"/>
      <c r="M631" s="11"/>
    </row>
    <row r="632" spans="1:13" ht="14.25" customHeight="1" x14ac:dyDescent="0.2">
      <c r="A632" s="11"/>
      <c r="B632" s="11"/>
      <c r="C632" s="11"/>
      <c r="D632" s="6"/>
      <c r="E632" s="11"/>
      <c r="F632" s="11"/>
      <c r="G632" s="11"/>
      <c r="H632" s="11"/>
      <c r="I632" s="11"/>
      <c r="J632" s="11"/>
      <c r="K632" s="11"/>
      <c r="L632" s="11"/>
      <c r="M632" s="11"/>
    </row>
    <row r="633" spans="1:13" ht="14.25" customHeight="1" x14ac:dyDescent="0.2">
      <c r="A633" s="11"/>
      <c r="B633" s="11"/>
      <c r="C633" s="11"/>
      <c r="D633" s="6"/>
      <c r="E633" s="11"/>
      <c r="F633" s="11"/>
      <c r="G633" s="11"/>
      <c r="H633" s="11"/>
      <c r="I633" s="11"/>
      <c r="J633" s="11"/>
      <c r="K633" s="11"/>
      <c r="L633" s="11"/>
      <c r="M633" s="11"/>
    </row>
    <row r="634" spans="1:13" ht="14.25" customHeight="1" x14ac:dyDescent="0.2">
      <c r="A634" s="11"/>
      <c r="B634" s="11"/>
      <c r="C634" s="11"/>
      <c r="D634" s="6"/>
      <c r="E634" s="11"/>
      <c r="F634" s="11"/>
      <c r="G634" s="11"/>
      <c r="H634" s="11"/>
      <c r="I634" s="11"/>
      <c r="J634" s="11"/>
      <c r="K634" s="11"/>
      <c r="L634" s="11"/>
      <c r="M634" s="11"/>
    </row>
    <row r="635" spans="1:13" ht="14.25" customHeight="1" x14ac:dyDescent="0.2">
      <c r="A635" s="11"/>
      <c r="B635" s="11"/>
      <c r="C635" s="11"/>
      <c r="D635" s="6"/>
      <c r="E635" s="11"/>
      <c r="F635" s="11"/>
      <c r="G635" s="11"/>
      <c r="H635" s="11"/>
      <c r="I635" s="11"/>
      <c r="J635" s="11"/>
      <c r="K635" s="11"/>
      <c r="L635" s="11"/>
      <c r="M635" s="11"/>
    </row>
    <row r="636" spans="1:13" ht="14.25" customHeight="1" x14ac:dyDescent="0.2">
      <c r="A636" s="11"/>
      <c r="B636" s="11"/>
      <c r="C636" s="11"/>
      <c r="D636" s="6"/>
      <c r="E636" s="11"/>
      <c r="F636" s="11"/>
      <c r="G636" s="11"/>
      <c r="H636" s="11"/>
      <c r="I636" s="11"/>
      <c r="J636" s="11"/>
      <c r="K636" s="11"/>
      <c r="L636" s="11"/>
      <c r="M636" s="11"/>
    </row>
    <row r="637" spans="1:13" ht="14.25" customHeight="1" x14ac:dyDescent="0.2">
      <c r="A637" s="11"/>
      <c r="B637" s="11"/>
      <c r="C637" s="11"/>
      <c r="D637" s="6"/>
      <c r="E637" s="11"/>
      <c r="F637" s="11"/>
      <c r="G637" s="11"/>
      <c r="H637" s="11"/>
      <c r="I637" s="11"/>
      <c r="J637" s="11"/>
      <c r="K637" s="11"/>
      <c r="L637" s="11"/>
      <c r="M637" s="11"/>
    </row>
    <row r="638" spans="1:13" ht="14.25" customHeight="1" x14ac:dyDescent="0.2">
      <c r="A638" s="11"/>
      <c r="B638" s="11"/>
      <c r="C638" s="11"/>
      <c r="D638" s="6"/>
      <c r="E638" s="11"/>
      <c r="F638" s="11"/>
      <c r="G638" s="11"/>
      <c r="H638" s="11"/>
      <c r="I638" s="11"/>
      <c r="J638" s="11"/>
      <c r="K638" s="11"/>
      <c r="L638" s="11"/>
      <c r="M638" s="11"/>
    </row>
    <row r="639" spans="1:13" ht="14.25" customHeight="1" x14ac:dyDescent="0.2">
      <c r="A639" s="11"/>
      <c r="B639" s="11"/>
      <c r="C639" s="11"/>
      <c r="D639" s="6"/>
      <c r="E639" s="11"/>
      <c r="F639" s="11"/>
      <c r="G639" s="11"/>
      <c r="H639" s="11"/>
      <c r="I639" s="11"/>
      <c r="J639" s="11"/>
      <c r="K639" s="11"/>
      <c r="L639" s="11"/>
      <c r="M639" s="11"/>
    </row>
    <row r="640" spans="1:13" ht="14.25" customHeight="1" x14ac:dyDescent="0.2">
      <c r="A640" s="11"/>
      <c r="B640" s="11"/>
      <c r="C640" s="11"/>
      <c r="D640" s="6"/>
      <c r="E640" s="11"/>
      <c r="F640" s="11"/>
      <c r="G640" s="11"/>
      <c r="H640" s="11"/>
      <c r="I640" s="11"/>
      <c r="J640" s="11"/>
      <c r="K640" s="11"/>
      <c r="L640" s="11"/>
      <c r="M640" s="11"/>
    </row>
    <row r="641" spans="1:13" ht="14.25" customHeight="1" x14ac:dyDescent="0.2">
      <c r="A641" s="11"/>
      <c r="B641" s="11"/>
      <c r="C641" s="11"/>
      <c r="D641" s="6"/>
      <c r="E641" s="11"/>
      <c r="F641" s="11"/>
      <c r="G641" s="11"/>
      <c r="H641" s="11"/>
      <c r="I641" s="11"/>
      <c r="J641" s="11"/>
      <c r="K641" s="11"/>
      <c r="L641" s="11"/>
      <c r="M641" s="11"/>
    </row>
    <row r="642" spans="1:13" ht="14.25" customHeight="1" x14ac:dyDescent="0.2">
      <c r="A642" s="11"/>
      <c r="B642" s="11"/>
      <c r="C642" s="11"/>
      <c r="D642" s="6"/>
      <c r="E642" s="11"/>
      <c r="F642" s="11"/>
      <c r="G642" s="11"/>
      <c r="H642" s="11"/>
      <c r="I642" s="11"/>
      <c r="J642" s="11"/>
      <c r="K642" s="11"/>
      <c r="L642" s="11"/>
      <c r="M642" s="11"/>
    </row>
    <row r="643" spans="1:13" ht="14.25" customHeight="1" x14ac:dyDescent="0.2">
      <c r="A643" s="11"/>
      <c r="B643" s="11"/>
      <c r="C643" s="11"/>
      <c r="D643" s="6"/>
      <c r="E643" s="11"/>
      <c r="F643" s="11"/>
      <c r="G643" s="11"/>
      <c r="H643" s="11"/>
      <c r="I643" s="11"/>
      <c r="J643" s="11"/>
      <c r="K643" s="11"/>
      <c r="L643" s="11"/>
      <c r="M643" s="11"/>
    </row>
    <row r="644" spans="1:13" ht="14.25" customHeight="1" x14ac:dyDescent="0.2">
      <c r="A644" s="11"/>
      <c r="B644" s="11"/>
      <c r="C644" s="11"/>
      <c r="D644" s="6"/>
      <c r="E644" s="11"/>
      <c r="F644" s="11"/>
      <c r="G644" s="11"/>
      <c r="H644" s="11"/>
      <c r="I644" s="11"/>
      <c r="J644" s="11"/>
      <c r="K644" s="11"/>
      <c r="L644" s="11"/>
      <c r="M644" s="11"/>
    </row>
    <row r="645" spans="1:13" ht="14.25" customHeight="1" x14ac:dyDescent="0.2">
      <c r="A645" s="11"/>
      <c r="B645" s="11"/>
      <c r="C645" s="11"/>
      <c r="D645" s="6"/>
      <c r="E645" s="11"/>
      <c r="F645" s="11"/>
      <c r="G645" s="11"/>
      <c r="H645" s="11"/>
      <c r="I645" s="11"/>
      <c r="J645" s="11"/>
      <c r="K645" s="11"/>
      <c r="L645" s="11"/>
      <c r="M645" s="11"/>
    </row>
    <row r="646" spans="1:13" ht="14.25" customHeight="1" x14ac:dyDescent="0.2">
      <c r="A646" s="11"/>
      <c r="B646" s="11"/>
      <c r="C646" s="11"/>
      <c r="D646" s="6"/>
      <c r="E646" s="11"/>
      <c r="F646" s="11"/>
      <c r="G646" s="11"/>
      <c r="H646" s="11"/>
      <c r="I646" s="11"/>
      <c r="J646" s="11"/>
      <c r="K646" s="11"/>
      <c r="L646" s="11"/>
      <c r="M646" s="11"/>
    </row>
    <row r="647" spans="1:13" ht="14.25" customHeight="1" x14ac:dyDescent="0.2">
      <c r="A647" s="11"/>
      <c r="B647" s="11"/>
      <c r="C647" s="11"/>
      <c r="D647" s="6"/>
      <c r="E647" s="11"/>
      <c r="F647" s="11"/>
      <c r="G647" s="11"/>
      <c r="H647" s="11"/>
      <c r="I647" s="11"/>
      <c r="J647" s="11"/>
      <c r="K647" s="11"/>
      <c r="L647" s="11"/>
      <c r="M647" s="11"/>
    </row>
    <row r="648" spans="1:13" ht="14.25" customHeight="1" x14ac:dyDescent="0.2">
      <c r="A648" s="11"/>
      <c r="B648" s="11"/>
      <c r="C648" s="11"/>
      <c r="D648" s="6"/>
      <c r="E648" s="11"/>
      <c r="F648" s="11"/>
      <c r="G648" s="11"/>
      <c r="H648" s="11"/>
      <c r="I648" s="11"/>
      <c r="J648" s="11"/>
      <c r="K648" s="11"/>
      <c r="L648" s="11"/>
      <c r="M648" s="11"/>
    </row>
    <row r="649" spans="1:13" ht="14.25" customHeight="1" x14ac:dyDescent="0.2">
      <c r="A649" s="11"/>
      <c r="B649" s="11"/>
      <c r="C649" s="11"/>
      <c r="D649" s="6"/>
      <c r="E649" s="11"/>
      <c r="F649" s="11"/>
      <c r="G649" s="11"/>
      <c r="H649" s="11"/>
      <c r="I649" s="11"/>
      <c r="J649" s="11"/>
      <c r="K649" s="11"/>
      <c r="L649" s="11"/>
      <c r="M649" s="11"/>
    </row>
    <row r="650" spans="1:13" ht="14.25" customHeight="1" x14ac:dyDescent="0.2">
      <c r="A650" s="11"/>
      <c r="B650" s="11"/>
      <c r="C650" s="11"/>
      <c r="D650" s="6"/>
      <c r="E650" s="11"/>
      <c r="F650" s="11"/>
      <c r="G650" s="11"/>
      <c r="H650" s="11"/>
      <c r="I650" s="11"/>
      <c r="J650" s="11"/>
      <c r="K650" s="11"/>
      <c r="L650" s="11"/>
      <c r="M650" s="11"/>
    </row>
    <row r="651" spans="1:13" ht="14.25" customHeight="1" x14ac:dyDescent="0.2">
      <c r="A651" s="11"/>
      <c r="B651" s="11"/>
      <c r="C651" s="11"/>
      <c r="D651" s="6"/>
      <c r="E651" s="11"/>
      <c r="F651" s="11"/>
      <c r="G651" s="11"/>
      <c r="H651" s="11"/>
      <c r="I651" s="11"/>
      <c r="J651" s="11"/>
      <c r="K651" s="11"/>
      <c r="L651" s="11"/>
      <c r="M651" s="11"/>
    </row>
    <row r="652" spans="1:13" ht="14.25" customHeight="1" x14ac:dyDescent="0.2">
      <c r="A652" s="11"/>
      <c r="B652" s="11"/>
      <c r="C652" s="11"/>
      <c r="D652" s="6"/>
      <c r="E652" s="11"/>
      <c r="F652" s="11"/>
      <c r="G652" s="11"/>
      <c r="H652" s="11"/>
      <c r="I652" s="11"/>
      <c r="J652" s="11"/>
      <c r="K652" s="11"/>
      <c r="L652" s="11"/>
      <c r="M652" s="11"/>
    </row>
    <row r="653" spans="1:13" ht="14.25" customHeight="1" x14ac:dyDescent="0.2">
      <c r="A653" s="11"/>
      <c r="B653" s="11"/>
      <c r="C653" s="11"/>
      <c r="D653" s="6"/>
      <c r="E653" s="11"/>
      <c r="F653" s="11"/>
      <c r="G653" s="11"/>
      <c r="H653" s="11"/>
      <c r="I653" s="11"/>
      <c r="J653" s="11"/>
      <c r="K653" s="11"/>
      <c r="L653" s="11"/>
      <c r="M653" s="11"/>
    </row>
    <row r="654" spans="1:13" ht="14.25" customHeight="1" x14ac:dyDescent="0.2">
      <c r="A654" s="11"/>
      <c r="B654" s="11"/>
      <c r="C654" s="11"/>
      <c r="D654" s="6"/>
      <c r="E654" s="11"/>
      <c r="F654" s="11"/>
      <c r="G654" s="11"/>
      <c r="H654" s="11"/>
      <c r="I654" s="11"/>
      <c r="J654" s="11"/>
      <c r="K654" s="11"/>
      <c r="L654" s="11"/>
      <c r="M654" s="11"/>
    </row>
    <row r="655" spans="1:13" ht="14.25" customHeight="1" x14ac:dyDescent="0.2">
      <c r="A655" s="11"/>
      <c r="B655" s="11"/>
      <c r="C655" s="11"/>
      <c r="D655" s="6"/>
      <c r="E655" s="11"/>
      <c r="F655" s="11"/>
      <c r="G655" s="11"/>
      <c r="H655" s="11"/>
      <c r="I655" s="11"/>
      <c r="J655" s="11"/>
      <c r="K655" s="11"/>
      <c r="L655" s="11"/>
      <c r="M655" s="11"/>
    </row>
    <row r="656" spans="1:13" ht="14.25" customHeight="1" x14ac:dyDescent="0.2">
      <c r="A656" s="11"/>
      <c r="B656" s="11"/>
      <c r="C656" s="11"/>
      <c r="D656" s="6"/>
      <c r="E656" s="11"/>
      <c r="F656" s="11"/>
      <c r="G656" s="11"/>
      <c r="H656" s="11"/>
      <c r="I656" s="11"/>
      <c r="J656" s="11"/>
      <c r="K656" s="11"/>
      <c r="L656" s="11"/>
      <c r="M656" s="11"/>
    </row>
    <row r="657" spans="1:13" ht="14.25" customHeight="1" x14ac:dyDescent="0.2">
      <c r="A657" s="11"/>
      <c r="B657" s="11"/>
      <c r="C657" s="11"/>
      <c r="D657" s="6"/>
      <c r="E657" s="11"/>
      <c r="F657" s="11"/>
      <c r="G657" s="11"/>
      <c r="H657" s="11"/>
      <c r="I657" s="11"/>
      <c r="J657" s="11"/>
      <c r="K657" s="11"/>
      <c r="L657" s="11"/>
      <c r="M657" s="11"/>
    </row>
    <row r="658" spans="1:13" ht="14.25" customHeight="1" x14ac:dyDescent="0.2">
      <c r="A658" s="11"/>
      <c r="B658" s="11"/>
      <c r="C658" s="11"/>
      <c r="D658" s="6"/>
      <c r="E658" s="11"/>
      <c r="F658" s="11"/>
      <c r="G658" s="11"/>
      <c r="H658" s="11"/>
      <c r="I658" s="11"/>
      <c r="J658" s="11"/>
      <c r="K658" s="11"/>
      <c r="L658" s="11"/>
      <c r="M658" s="11"/>
    </row>
    <row r="659" spans="1:13" ht="14.25" customHeight="1" x14ac:dyDescent="0.2">
      <c r="A659" s="11"/>
      <c r="B659" s="11"/>
      <c r="C659" s="11"/>
      <c r="D659" s="6"/>
      <c r="E659" s="11"/>
      <c r="F659" s="11"/>
      <c r="G659" s="11"/>
      <c r="H659" s="11"/>
      <c r="I659" s="11"/>
      <c r="J659" s="11"/>
      <c r="K659" s="11"/>
      <c r="L659" s="11"/>
      <c r="M659" s="11"/>
    </row>
    <row r="660" spans="1:13" ht="14.25" customHeight="1" x14ac:dyDescent="0.2">
      <c r="A660" s="11"/>
      <c r="B660" s="11"/>
      <c r="C660" s="11"/>
      <c r="D660" s="6"/>
      <c r="E660" s="11"/>
      <c r="F660" s="11"/>
      <c r="G660" s="11"/>
      <c r="H660" s="11"/>
      <c r="I660" s="11"/>
      <c r="J660" s="11"/>
      <c r="K660" s="11"/>
      <c r="L660" s="11"/>
      <c r="M660" s="11"/>
    </row>
    <row r="661" spans="1:13" ht="14.25" customHeight="1" x14ac:dyDescent="0.2">
      <c r="A661" s="11"/>
      <c r="B661" s="11"/>
      <c r="C661" s="11"/>
      <c r="D661" s="6"/>
      <c r="E661" s="11"/>
      <c r="F661" s="11"/>
      <c r="G661" s="11"/>
      <c r="H661" s="11"/>
      <c r="I661" s="11"/>
      <c r="J661" s="11"/>
      <c r="K661" s="11"/>
      <c r="L661" s="11"/>
      <c r="M661" s="11"/>
    </row>
    <row r="662" spans="1:13" ht="14.25" customHeight="1" x14ac:dyDescent="0.2">
      <c r="A662" s="11"/>
      <c r="B662" s="11"/>
      <c r="C662" s="11"/>
      <c r="D662" s="6"/>
      <c r="E662" s="11"/>
      <c r="F662" s="11"/>
      <c r="G662" s="11"/>
      <c r="H662" s="11"/>
      <c r="I662" s="11"/>
      <c r="J662" s="11"/>
      <c r="K662" s="11"/>
      <c r="L662" s="11"/>
      <c r="M662" s="11"/>
    </row>
    <row r="663" spans="1:13" ht="14.25" customHeight="1" x14ac:dyDescent="0.2">
      <c r="A663" s="11"/>
      <c r="B663" s="11"/>
      <c r="C663" s="11"/>
      <c r="D663" s="6"/>
      <c r="E663" s="11"/>
      <c r="F663" s="11"/>
      <c r="G663" s="11"/>
      <c r="H663" s="11"/>
      <c r="I663" s="11"/>
      <c r="J663" s="11"/>
      <c r="K663" s="11"/>
      <c r="L663" s="11"/>
      <c r="M663" s="11"/>
    </row>
    <row r="664" spans="1:13" ht="14.25" customHeight="1" x14ac:dyDescent="0.2">
      <c r="A664" s="11"/>
      <c r="B664" s="11"/>
      <c r="C664" s="11"/>
      <c r="D664" s="6"/>
      <c r="E664" s="11"/>
      <c r="F664" s="11"/>
      <c r="G664" s="11"/>
      <c r="H664" s="11"/>
      <c r="I664" s="11"/>
      <c r="J664" s="11"/>
      <c r="K664" s="11"/>
      <c r="L664" s="11"/>
      <c r="M664" s="11"/>
    </row>
    <row r="665" spans="1:13" ht="14.25" customHeight="1" x14ac:dyDescent="0.2">
      <c r="A665" s="11"/>
      <c r="B665" s="11"/>
      <c r="C665" s="11"/>
      <c r="D665" s="6"/>
      <c r="E665" s="11"/>
      <c r="F665" s="11"/>
      <c r="G665" s="11"/>
      <c r="H665" s="11"/>
      <c r="I665" s="11"/>
      <c r="J665" s="11"/>
      <c r="K665" s="11"/>
      <c r="L665" s="11"/>
      <c r="M665" s="11"/>
    </row>
    <row r="666" spans="1:13" ht="14.25" customHeight="1" x14ac:dyDescent="0.2">
      <c r="A666" s="11"/>
      <c r="B666" s="11"/>
      <c r="C666" s="11"/>
      <c r="D666" s="6"/>
      <c r="E666" s="11"/>
      <c r="F666" s="11"/>
      <c r="G666" s="11"/>
      <c r="H666" s="11"/>
      <c r="I666" s="11"/>
      <c r="J666" s="11"/>
      <c r="K666" s="11"/>
      <c r="L666" s="11"/>
      <c r="M666" s="11"/>
    </row>
    <row r="667" spans="1:13" ht="14.25" customHeight="1" x14ac:dyDescent="0.2">
      <c r="A667" s="11"/>
      <c r="B667" s="11"/>
      <c r="C667" s="11"/>
      <c r="D667" s="6"/>
      <c r="E667" s="11"/>
      <c r="F667" s="11"/>
      <c r="G667" s="11"/>
      <c r="H667" s="11"/>
      <c r="I667" s="11"/>
      <c r="J667" s="11"/>
      <c r="K667" s="11"/>
      <c r="L667" s="11"/>
      <c r="M667" s="11"/>
    </row>
    <row r="668" spans="1:13" ht="14.25" customHeight="1" x14ac:dyDescent="0.2">
      <c r="A668" s="11"/>
      <c r="B668" s="11"/>
      <c r="C668" s="11"/>
      <c r="D668" s="6"/>
      <c r="E668" s="11"/>
      <c r="F668" s="11"/>
      <c r="G668" s="11"/>
      <c r="H668" s="11"/>
      <c r="I668" s="11"/>
      <c r="J668" s="11"/>
      <c r="K668" s="11"/>
      <c r="L668" s="11"/>
      <c r="M668" s="11"/>
    </row>
    <row r="669" spans="1:13" ht="14.25" customHeight="1" x14ac:dyDescent="0.2">
      <c r="A669" s="11"/>
      <c r="B669" s="11"/>
      <c r="C669" s="11"/>
      <c r="D669" s="6"/>
      <c r="E669" s="11"/>
      <c r="F669" s="11"/>
      <c r="G669" s="11"/>
      <c r="H669" s="11"/>
      <c r="I669" s="11"/>
      <c r="J669" s="11"/>
      <c r="K669" s="11"/>
      <c r="L669" s="11"/>
      <c r="M669" s="11"/>
    </row>
    <row r="670" spans="1:13" ht="14.25" customHeight="1" x14ac:dyDescent="0.2">
      <c r="A670" s="11"/>
      <c r="B670" s="11"/>
      <c r="C670" s="11"/>
      <c r="D670" s="6"/>
      <c r="E670" s="11"/>
      <c r="F670" s="11"/>
      <c r="G670" s="11"/>
      <c r="H670" s="11"/>
      <c r="I670" s="11"/>
      <c r="J670" s="11"/>
      <c r="K670" s="11"/>
      <c r="L670" s="11"/>
      <c r="M670" s="11"/>
    </row>
    <row r="671" spans="1:13" ht="14.25" customHeight="1" x14ac:dyDescent="0.2">
      <c r="A671" s="11"/>
      <c r="B671" s="11"/>
      <c r="C671" s="11"/>
      <c r="D671" s="6"/>
      <c r="E671" s="11"/>
      <c r="F671" s="11"/>
      <c r="G671" s="11"/>
      <c r="H671" s="11"/>
      <c r="I671" s="11"/>
      <c r="J671" s="11"/>
      <c r="K671" s="11"/>
      <c r="L671" s="11"/>
      <c r="M671" s="11"/>
    </row>
    <row r="672" spans="1:13" ht="14.25" customHeight="1" x14ac:dyDescent="0.2">
      <c r="A672" s="11"/>
      <c r="B672" s="11"/>
      <c r="C672" s="11"/>
      <c r="D672" s="6"/>
      <c r="E672" s="11"/>
      <c r="F672" s="11"/>
      <c r="G672" s="11"/>
      <c r="H672" s="11"/>
      <c r="I672" s="11"/>
      <c r="J672" s="11"/>
      <c r="K672" s="11"/>
      <c r="L672" s="11"/>
      <c r="M672" s="11"/>
    </row>
    <row r="673" spans="1:13" ht="14.25" customHeight="1" x14ac:dyDescent="0.2">
      <c r="A673" s="11"/>
      <c r="B673" s="11"/>
      <c r="C673" s="11"/>
      <c r="D673" s="6"/>
      <c r="E673" s="11"/>
      <c r="F673" s="11"/>
      <c r="G673" s="11"/>
      <c r="H673" s="11"/>
      <c r="I673" s="11"/>
      <c r="J673" s="11"/>
      <c r="K673" s="11"/>
      <c r="L673" s="11"/>
      <c r="M673" s="11"/>
    </row>
    <row r="674" spans="1:13" ht="14.25" customHeight="1" x14ac:dyDescent="0.2">
      <c r="A674" s="11"/>
      <c r="B674" s="11"/>
      <c r="C674" s="11"/>
      <c r="D674" s="6"/>
      <c r="E674" s="11"/>
      <c r="F674" s="11"/>
      <c r="G674" s="11"/>
      <c r="H674" s="11"/>
      <c r="I674" s="11"/>
      <c r="J674" s="11"/>
      <c r="K674" s="11"/>
      <c r="L674" s="11"/>
      <c r="M674" s="11"/>
    </row>
    <row r="675" spans="1:13" ht="14.25" customHeight="1" x14ac:dyDescent="0.2">
      <c r="A675" s="11"/>
      <c r="B675" s="11"/>
      <c r="C675" s="11"/>
      <c r="D675" s="6"/>
      <c r="E675" s="11"/>
      <c r="F675" s="11"/>
      <c r="G675" s="11"/>
      <c r="H675" s="11"/>
      <c r="I675" s="11"/>
      <c r="J675" s="11"/>
      <c r="K675" s="11"/>
      <c r="L675" s="11"/>
      <c r="M675" s="11"/>
    </row>
    <row r="676" spans="1:13" ht="14.25" customHeight="1" x14ac:dyDescent="0.2">
      <c r="A676" s="11"/>
      <c r="B676" s="11"/>
      <c r="C676" s="11"/>
      <c r="D676" s="6"/>
      <c r="E676" s="11"/>
      <c r="F676" s="11"/>
      <c r="G676" s="11"/>
      <c r="H676" s="11"/>
      <c r="I676" s="11"/>
      <c r="J676" s="11"/>
      <c r="K676" s="11"/>
      <c r="L676" s="11"/>
      <c r="M676" s="11"/>
    </row>
    <row r="677" spans="1:13" ht="14.25" customHeight="1" x14ac:dyDescent="0.2">
      <c r="A677" s="11"/>
      <c r="B677" s="11"/>
      <c r="C677" s="11"/>
      <c r="D677" s="6"/>
      <c r="E677" s="11"/>
      <c r="F677" s="11"/>
      <c r="G677" s="11"/>
      <c r="H677" s="11"/>
      <c r="I677" s="11"/>
      <c r="J677" s="11"/>
      <c r="K677" s="11"/>
      <c r="L677" s="11"/>
      <c r="M677" s="11"/>
    </row>
    <row r="678" spans="1:13" ht="14.25" customHeight="1" x14ac:dyDescent="0.2">
      <c r="A678" s="11"/>
      <c r="B678" s="11"/>
      <c r="C678" s="11"/>
      <c r="D678" s="6"/>
      <c r="E678" s="11"/>
      <c r="F678" s="11"/>
      <c r="G678" s="11"/>
      <c r="H678" s="11"/>
      <c r="I678" s="11"/>
      <c r="J678" s="11"/>
      <c r="K678" s="11"/>
      <c r="L678" s="11"/>
      <c r="M678" s="11"/>
    </row>
    <row r="679" spans="1:13" ht="14.25" customHeight="1" x14ac:dyDescent="0.2">
      <c r="A679" s="11"/>
      <c r="B679" s="11"/>
      <c r="C679" s="11"/>
      <c r="D679" s="6"/>
      <c r="E679" s="11"/>
      <c r="F679" s="11"/>
      <c r="G679" s="11"/>
      <c r="H679" s="11"/>
      <c r="I679" s="11"/>
      <c r="J679" s="11"/>
      <c r="K679" s="11"/>
      <c r="L679" s="11"/>
      <c r="M679" s="11"/>
    </row>
    <row r="680" spans="1:13" ht="14.25" customHeight="1" x14ac:dyDescent="0.2">
      <c r="A680" s="11"/>
      <c r="B680" s="11"/>
      <c r="C680" s="11"/>
      <c r="D680" s="6"/>
      <c r="E680" s="11"/>
      <c r="F680" s="11"/>
      <c r="G680" s="11"/>
      <c r="H680" s="11"/>
      <c r="I680" s="11"/>
      <c r="J680" s="11"/>
      <c r="K680" s="11"/>
      <c r="L680" s="11"/>
      <c r="M680" s="11"/>
    </row>
    <row r="681" spans="1:13" ht="14.25" customHeight="1" x14ac:dyDescent="0.2">
      <c r="A681" s="11"/>
      <c r="B681" s="11"/>
      <c r="C681" s="11"/>
      <c r="D681" s="6"/>
      <c r="E681" s="11"/>
      <c r="F681" s="11"/>
      <c r="G681" s="11"/>
      <c r="H681" s="11"/>
      <c r="I681" s="11"/>
      <c r="J681" s="11"/>
      <c r="K681" s="11"/>
      <c r="L681" s="11"/>
      <c r="M681" s="11"/>
    </row>
    <row r="682" spans="1:13" ht="14.25" customHeight="1" x14ac:dyDescent="0.2">
      <c r="A682" s="11"/>
      <c r="B682" s="11"/>
      <c r="C682" s="11"/>
      <c r="D682" s="6"/>
      <c r="E682" s="11"/>
      <c r="F682" s="11"/>
      <c r="G682" s="11"/>
      <c r="H682" s="11"/>
      <c r="I682" s="11"/>
      <c r="J682" s="11"/>
      <c r="K682" s="11"/>
      <c r="L682" s="11"/>
      <c r="M682" s="11"/>
    </row>
    <row r="683" spans="1:13" ht="14.25" customHeight="1" x14ac:dyDescent="0.2">
      <c r="A683" s="11"/>
      <c r="B683" s="11"/>
      <c r="C683" s="11"/>
      <c r="D683" s="6"/>
      <c r="E683" s="11"/>
      <c r="F683" s="11"/>
      <c r="G683" s="11"/>
      <c r="H683" s="11"/>
      <c r="I683" s="11"/>
      <c r="J683" s="11"/>
      <c r="K683" s="11"/>
      <c r="L683" s="11"/>
      <c r="M683" s="11"/>
    </row>
    <row r="684" spans="1:13" ht="14.25" customHeight="1" x14ac:dyDescent="0.2">
      <c r="A684" s="11"/>
      <c r="B684" s="11"/>
      <c r="C684" s="11"/>
      <c r="D684" s="6"/>
      <c r="E684" s="11"/>
      <c r="F684" s="11"/>
      <c r="G684" s="11"/>
      <c r="H684" s="11"/>
      <c r="I684" s="11"/>
      <c r="J684" s="11"/>
      <c r="K684" s="11"/>
      <c r="L684" s="11"/>
      <c r="M684" s="11"/>
    </row>
    <row r="685" spans="1:13" ht="14.25" customHeight="1" x14ac:dyDescent="0.2">
      <c r="A685" s="11"/>
      <c r="B685" s="11"/>
      <c r="C685" s="11"/>
      <c r="D685" s="6"/>
      <c r="E685" s="11"/>
      <c r="F685" s="11"/>
      <c r="G685" s="11"/>
      <c r="H685" s="11"/>
      <c r="I685" s="11"/>
      <c r="J685" s="11"/>
      <c r="K685" s="11"/>
      <c r="L685" s="11"/>
      <c r="M685" s="11"/>
    </row>
    <row r="686" spans="1:13" ht="14.25" customHeight="1" x14ac:dyDescent="0.2">
      <c r="A686" s="11"/>
      <c r="B686" s="11"/>
      <c r="C686" s="11"/>
      <c r="D686" s="6"/>
      <c r="E686" s="11"/>
      <c r="F686" s="11"/>
      <c r="G686" s="11"/>
      <c r="H686" s="11"/>
      <c r="I686" s="11"/>
      <c r="J686" s="11"/>
      <c r="K686" s="11"/>
      <c r="L686" s="11"/>
      <c r="M686" s="11"/>
    </row>
    <row r="687" spans="1:13" ht="14.25" customHeight="1" x14ac:dyDescent="0.2">
      <c r="A687" s="11"/>
      <c r="B687" s="11"/>
      <c r="C687" s="11"/>
      <c r="D687" s="6"/>
      <c r="E687" s="11"/>
      <c r="F687" s="11"/>
      <c r="G687" s="11"/>
      <c r="H687" s="11"/>
      <c r="I687" s="11"/>
      <c r="J687" s="11"/>
      <c r="K687" s="11"/>
      <c r="L687" s="11"/>
      <c r="M687" s="11"/>
    </row>
    <row r="688" spans="1:13" ht="14.25" customHeight="1" x14ac:dyDescent="0.2">
      <c r="A688" s="11"/>
      <c r="B688" s="11"/>
      <c r="C688" s="11"/>
      <c r="D688" s="6"/>
      <c r="E688" s="11"/>
      <c r="F688" s="11"/>
      <c r="G688" s="11"/>
      <c r="H688" s="11"/>
      <c r="I688" s="11"/>
      <c r="J688" s="11"/>
      <c r="K688" s="11"/>
      <c r="L688" s="11"/>
      <c r="M688" s="11"/>
    </row>
    <row r="689" spans="1:13" ht="14.25" customHeight="1" x14ac:dyDescent="0.2">
      <c r="A689" s="11"/>
      <c r="B689" s="11"/>
      <c r="C689" s="11"/>
      <c r="D689" s="6"/>
      <c r="E689" s="11"/>
      <c r="F689" s="11"/>
      <c r="G689" s="11"/>
      <c r="H689" s="11"/>
      <c r="I689" s="11"/>
      <c r="J689" s="11"/>
      <c r="K689" s="11"/>
      <c r="L689" s="11"/>
      <c r="M689" s="11"/>
    </row>
    <row r="690" spans="1:13" ht="14.25" customHeight="1" x14ac:dyDescent="0.2">
      <c r="A690" s="11"/>
      <c r="B690" s="11"/>
      <c r="C690" s="11"/>
      <c r="D690" s="6"/>
      <c r="E690" s="11"/>
      <c r="F690" s="11"/>
      <c r="G690" s="11"/>
      <c r="H690" s="11"/>
      <c r="I690" s="11"/>
      <c r="J690" s="11"/>
      <c r="K690" s="11"/>
      <c r="L690" s="11"/>
      <c r="M690" s="11"/>
    </row>
    <row r="691" spans="1:13" ht="14.25" customHeight="1" x14ac:dyDescent="0.2">
      <c r="A691" s="11"/>
      <c r="B691" s="11"/>
      <c r="C691" s="11"/>
      <c r="D691" s="6"/>
      <c r="E691" s="11"/>
      <c r="F691" s="11"/>
      <c r="G691" s="11"/>
      <c r="H691" s="11"/>
      <c r="I691" s="11"/>
      <c r="J691" s="11"/>
      <c r="K691" s="11"/>
      <c r="L691" s="11"/>
      <c r="M691" s="11"/>
    </row>
    <row r="692" spans="1:13" ht="14.25" customHeight="1" x14ac:dyDescent="0.2">
      <c r="A692" s="11"/>
      <c r="B692" s="11"/>
      <c r="C692" s="11"/>
      <c r="D692" s="6"/>
      <c r="E692" s="11"/>
      <c r="F692" s="11"/>
      <c r="G692" s="11"/>
      <c r="H692" s="11"/>
      <c r="I692" s="11"/>
      <c r="J692" s="11"/>
      <c r="K692" s="11"/>
      <c r="L692" s="11"/>
      <c r="M692" s="11"/>
    </row>
    <row r="693" spans="1:13" ht="14.25" customHeight="1" x14ac:dyDescent="0.2">
      <c r="A693" s="11"/>
      <c r="B693" s="11"/>
      <c r="C693" s="11"/>
      <c r="D693" s="6"/>
      <c r="E693" s="11"/>
      <c r="F693" s="11"/>
      <c r="G693" s="11"/>
      <c r="H693" s="11"/>
      <c r="I693" s="11"/>
      <c r="J693" s="11"/>
      <c r="K693" s="11"/>
      <c r="L693" s="11"/>
      <c r="M693" s="11"/>
    </row>
    <row r="694" spans="1:13" ht="14.25" customHeight="1" x14ac:dyDescent="0.2">
      <c r="A694" s="11"/>
      <c r="B694" s="11"/>
      <c r="C694" s="11"/>
      <c r="D694" s="6"/>
      <c r="E694" s="11"/>
      <c r="F694" s="11"/>
      <c r="G694" s="11"/>
      <c r="H694" s="11"/>
      <c r="I694" s="11"/>
      <c r="J694" s="11"/>
      <c r="K694" s="11"/>
      <c r="L694" s="11"/>
      <c r="M694" s="11"/>
    </row>
    <row r="695" spans="1:13" ht="14.25" customHeight="1" x14ac:dyDescent="0.2">
      <c r="A695" s="11"/>
      <c r="B695" s="11"/>
      <c r="C695" s="11"/>
      <c r="D695" s="6"/>
      <c r="E695" s="11"/>
      <c r="F695" s="11"/>
      <c r="G695" s="11"/>
      <c r="H695" s="11"/>
      <c r="I695" s="11"/>
      <c r="J695" s="11"/>
      <c r="K695" s="11"/>
      <c r="L695" s="11"/>
      <c r="M695" s="11"/>
    </row>
    <row r="696" spans="1:13" ht="14.25" customHeight="1" x14ac:dyDescent="0.2">
      <c r="A696" s="11"/>
      <c r="B696" s="11"/>
      <c r="C696" s="11"/>
      <c r="D696" s="6"/>
      <c r="E696" s="11"/>
      <c r="F696" s="11"/>
      <c r="G696" s="11"/>
      <c r="H696" s="11"/>
      <c r="I696" s="11"/>
      <c r="J696" s="11"/>
      <c r="K696" s="11"/>
      <c r="L696" s="11"/>
      <c r="M696" s="11"/>
    </row>
    <row r="697" spans="1:13" ht="14.25" customHeight="1" x14ac:dyDescent="0.2">
      <c r="A697" s="11"/>
      <c r="B697" s="11"/>
      <c r="C697" s="11"/>
      <c r="D697" s="6"/>
      <c r="E697" s="11"/>
      <c r="F697" s="11"/>
      <c r="G697" s="11"/>
      <c r="H697" s="11"/>
      <c r="I697" s="11"/>
      <c r="J697" s="11"/>
      <c r="K697" s="11"/>
      <c r="L697" s="11"/>
      <c r="M697" s="11"/>
    </row>
    <row r="698" spans="1:13" ht="14.25" customHeight="1" x14ac:dyDescent="0.2">
      <c r="A698" s="11"/>
      <c r="B698" s="11"/>
      <c r="C698" s="11"/>
      <c r="D698" s="6"/>
      <c r="E698" s="11"/>
      <c r="F698" s="11"/>
      <c r="G698" s="11"/>
      <c r="H698" s="11"/>
      <c r="I698" s="11"/>
      <c r="J698" s="11"/>
      <c r="K698" s="11"/>
      <c r="L698" s="11"/>
      <c r="M698" s="11"/>
    </row>
    <row r="699" spans="1:13" ht="14.25" customHeight="1" x14ac:dyDescent="0.2">
      <c r="A699" s="11"/>
      <c r="B699" s="11"/>
      <c r="C699" s="11"/>
      <c r="D699" s="6"/>
      <c r="E699" s="11"/>
      <c r="F699" s="11"/>
      <c r="G699" s="11"/>
      <c r="H699" s="11"/>
      <c r="I699" s="11"/>
      <c r="J699" s="11"/>
      <c r="K699" s="11"/>
      <c r="L699" s="11"/>
      <c r="M699" s="11"/>
    </row>
    <row r="700" spans="1:13" ht="14.25" customHeight="1" x14ac:dyDescent="0.2">
      <c r="A700" s="11"/>
      <c r="B700" s="11"/>
      <c r="C700" s="11"/>
      <c r="D700" s="6"/>
      <c r="E700" s="11"/>
      <c r="F700" s="11"/>
      <c r="G700" s="11"/>
      <c r="H700" s="11"/>
      <c r="I700" s="11"/>
      <c r="J700" s="11"/>
      <c r="K700" s="11"/>
      <c r="L700" s="11"/>
      <c r="M700" s="11"/>
    </row>
    <row r="701" spans="1:13" ht="14.25" customHeight="1" x14ac:dyDescent="0.2">
      <c r="A701" s="11"/>
      <c r="B701" s="11"/>
      <c r="C701" s="11"/>
      <c r="D701" s="6"/>
      <c r="E701" s="11"/>
      <c r="F701" s="11"/>
      <c r="G701" s="11"/>
      <c r="H701" s="11"/>
      <c r="I701" s="11"/>
      <c r="J701" s="11"/>
      <c r="K701" s="11"/>
      <c r="L701" s="11"/>
      <c r="M701" s="11"/>
    </row>
    <row r="702" spans="1:13" ht="14.25" customHeight="1" x14ac:dyDescent="0.2">
      <c r="A702" s="11"/>
      <c r="B702" s="11"/>
      <c r="C702" s="11"/>
      <c r="D702" s="6"/>
      <c r="E702" s="11"/>
      <c r="F702" s="11"/>
      <c r="G702" s="11"/>
      <c r="H702" s="11"/>
      <c r="I702" s="11"/>
      <c r="J702" s="11"/>
      <c r="K702" s="11"/>
      <c r="L702" s="11"/>
      <c r="M702" s="11"/>
    </row>
    <row r="703" spans="1:13" ht="14.25" customHeight="1" x14ac:dyDescent="0.2">
      <c r="A703" s="11"/>
      <c r="B703" s="11"/>
      <c r="C703" s="11"/>
      <c r="D703" s="6"/>
      <c r="E703" s="11"/>
      <c r="F703" s="11"/>
      <c r="G703" s="11"/>
      <c r="H703" s="11"/>
      <c r="I703" s="11"/>
      <c r="J703" s="11"/>
      <c r="K703" s="11"/>
      <c r="L703" s="11"/>
      <c r="M703" s="11"/>
    </row>
    <row r="704" spans="1:13" ht="14.25" customHeight="1" x14ac:dyDescent="0.2">
      <c r="A704" s="11"/>
      <c r="B704" s="11"/>
      <c r="C704" s="11"/>
      <c r="D704" s="6"/>
      <c r="E704" s="11"/>
      <c r="F704" s="11"/>
      <c r="G704" s="11"/>
      <c r="H704" s="11"/>
      <c r="I704" s="11"/>
      <c r="J704" s="11"/>
      <c r="K704" s="11"/>
      <c r="L704" s="11"/>
      <c r="M704" s="11"/>
    </row>
    <row r="705" spans="1:13" ht="14.25" customHeight="1" x14ac:dyDescent="0.2">
      <c r="A705" s="11"/>
      <c r="B705" s="11"/>
      <c r="C705" s="11"/>
      <c r="D705" s="6"/>
      <c r="E705" s="11"/>
      <c r="F705" s="11"/>
      <c r="G705" s="11"/>
      <c r="H705" s="11"/>
      <c r="I705" s="11"/>
      <c r="J705" s="11"/>
      <c r="K705" s="11"/>
      <c r="L705" s="11"/>
      <c r="M705" s="11"/>
    </row>
    <row r="706" spans="1:13" ht="14.25" customHeight="1" x14ac:dyDescent="0.2">
      <c r="A706" s="11"/>
      <c r="B706" s="11"/>
      <c r="C706" s="11"/>
      <c r="D706" s="6"/>
      <c r="E706" s="11"/>
      <c r="F706" s="11"/>
      <c r="G706" s="11"/>
      <c r="H706" s="11"/>
      <c r="I706" s="11"/>
      <c r="J706" s="11"/>
      <c r="K706" s="11"/>
      <c r="L706" s="11"/>
      <c r="M706" s="11"/>
    </row>
    <row r="707" spans="1:13" ht="14.25" customHeight="1" x14ac:dyDescent="0.2">
      <c r="A707" s="11"/>
      <c r="B707" s="11"/>
      <c r="C707" s="11"/>
      <c r="D707" s="6"/>
      <c r="E707" s="11"/>
      <c r="F707" s="11"/>
      <c r="G707" s="11"/>
      <c r="H707" s="11"/>
      <c r="I707" s="11"/>
      <c r="J707" s="11"/>
      <c r="K707" s="11"/>
      <c r="L707" s="11"/>
      <c r="M707" s="11"/>
    </row>
    <row r="708" spans="1:13" ht="14.25" customHeight="1" x14ac:dyDescent="0.2">
      <c r="A708" s="11"/>
      <c r="B708" s="11"/>
      <c r="C708" s="11"/>
      <c r="D708" s="6"/>
      <c r="E708" s="11"/>
      <c r="F708" s="11"/>
      <c r="G708" s="11"/>
      <c r="H708" s="11"/>
      <c r="I708" s="11"/>
      <c r="J708" s="11"/>
      <c r="K708" s="11"/>
      <c r="L708" s="11"/>
      <c r="M708" s="11"/>
    </row>
    <row r="709" spans="1:13" ht="14.25" customHeight="1" x14ac:dyDescent="0.2">
      <c r="A709" s="11"/>
      <c r="B709" s="11"/>
      <c r="C709" s="11"/>
      <c r="D709" s="6"/>
      <c r="E709" s="11"/>
      <c r="F709" s="11"/>
      <c r="G709" s="11"/>
      <c r="H709" s="11"/>
      <c r="I709" s="11"/>
      <c r="J709" s="11"/>
      <c r="K709" s="11"/>
      <c r="L709" s="11"/>
      <c r="M709" s="11"/>
    </row>
    <row r="710" spans="1:13" ht="14.25" customHeight="1" x14ac:dyDescent="0.2">
      <c r="A710" s="11"/>
      <c r="B710" s="11"/>
      <c r="C710" s="11"/>
      <c r="D710" s="6"/>
      <c r="E710" s="11"/>
      <c r="F710" s="11"/>
      <c r="G710" s="11"/>
      <c r="H710" s="11"/>
      <c r="I710" s="11"/>
      <c r="J710" s="11"/>
      <c r="K710" s="11"/>
      <c r="L710" s="11"/>
      <c r="M710" s="11"/>
    </row>
    <row r="711" spans="1:13" ht="14.25" customHeight="1" x14ac:dyDescent="0.2">
      <c r="A711" s="11"/>
      <c r="B711" s="11"/>
      <c r="C711" s="11"/>
      <c r="D711" s="6"/>
      <c r="E711" s="11"/>
      <c r="F711" s="11"/>
      <c r="G711" s="11"/>
      <c r="H711" s="11"/>
      <c r="I711" s="11"/>
      <c r="J711" s="11"/>
      <c r="K711" s="11"/>
      <c r="L711" s="11"/>
      <c r="M711" s="11"/>
    </row>
    <row r="712" spans="1:13" ht="14.25" customHeight="1" x14ac:dyDescent="0.2">
      <c r="A712" s="11"/>
      <c r="B712" s="11"/>
      <c r="C712" s="11"/>
      <c r="D712" s="6"/>
      <c r="E712" s="11"/>
      <c r="F712" s="11"/>
      <c r="G712" s="11"/>
      <c r="H712" s="11"/>
      <c r="I712" s="11"/>
      <c r="J712" s="11"/>
      <c r="K712" s="11"/>
      <c r="L712" s="11"/>
      <c r="M712" s="11"/>
    </row>
    <row r="713" spans="1:13" ht="14.25" customHeight="1" x14ac:dyDescent="0.2">
      <c r="A713" s="11"/>
      <c r="B713" s="11"/>
      <c r="C713" s="11"/>
      <c r="D713" s="6"/>
      <c r="E713" s="11"/>
      <c r="F713" s="11"/>
      <c r="G713" s="11"/>
      <c r="H713" s="11"/>
      <c r="I713" s="11"/>
      <c r="J713" s="11"/>
      <c r="K713" s="11"/>
      <c r="L713" s="11"/>
      <c r="M713" s="11"/>
    </row>
    <row r="714" spans="1:13" ht="14.25" customHeight="1" x14ac:dyDescent="0.2">
      <c r="A714" s="11"/>
      <c r="B714" s="11"/>
      <c r="C714" s="11"/>
      <c r="D714" s="6"/>
      <c r="E714" s="11"/>
      <c r="F714" s="11"/>
      <c r="G714" s="11"/>
      <c r="H714" s="11"/>
      <c r="I714" s="11"/>
      <c r="J714" s="11"/>
      <c r="K714" s="11"/>
      <c r="L714" s="11"/>
      <c r="M714" s="11"/>
    </row>
    <row r="715" spans="1:13" ht="14.25" customHeight="1" x14ac:dyDescent="0.2">
      <c r="A715" s="11"/>
      <c r="B715" s="11"/>
      <c r="C715" s="11"/>
      <c r="D715" s="6"/>
      <c r="E715" s="11"/>
      <c r="F715" s="11"/>
      <c r="G715" s="11"/>
      <c r="H715" s="11"/>
      <c r="I715" s="11"/>
      <c r="J715" s="11"/>
      <c r="K715" s="11"/>
      <c r="L715" s="11"/>
      <c r="M715" s="11"/>
    </row>
    <row r="716" spans="1:13" ht="14.25" customHeight="1" x14ac:dyDescent="0.2">
      <c r="A716" s="11"/>
      <c r="B716" s="11"/>
      <c r="C716" s="11"/>
      <c r="D716" s="6"/>
      <c r="E716" s="11"/>
      <c r="F716" s="11"/>
      <c r="G716" s="11"/>
      <c r="H716" s="11"/>
      <c r="I716" s="11"/>
      <c r="J716" s="11"/>
      <c r="K716" s="11"/>
      <c r="L716" s="11"/>
      <c r="M716" s="11"/>
    </row>
    <row r="717" spans="1:13" ht="14.25" customHeight="1" x14ac:dyDescent="0.2">
      <c r="A717" s="11"/>
      <c r="B717" s="11"/>
      <c r="C717" s="11"/>
      <c r="D717" s="6"/>
      <c r="E717" s="11"/>
      <c r="F717" s="11"/>
      <c r="G717" s="11"/>
      <c r="H717" s="11"/>
      <c r="I717" s="11"/>
      <c r="J717" s="11"/>
      <c r="K717" s="11"/>
      <c r="L717" s="11"/>
      <c r="M717" s="11"/>
    </row>
    <row r="718" spans="1:13" ht="14.25" customHeight="1" x14ac:dyDescent="0.2">
      <c r="A718" s="11"/>
      <c r="B718" s="11"/>
      <c r="C718" s="11"/>
      <c r="D718" s="6"/>
      <c r="E718" s="11"/>
      <c r="F718" s="11"/>
      <c r="G718" s="11"/>
      <c r="H718" s="11"/>
      <c r="I718" s="11"/>
      <c r="J718" s="11"/>
      <c r="K718" s="11"/>
      <c r="L718" s="11"/>
      <c r="M718" s="11"/>
    </row>
    <row r="719" spans="1:13" ht="14.25" customHeight="1" x14ac:dyDescent="0.2">
      <c r="A719" s="11"/>
      <c r="B719" s="11"/>
      <c r="C719" s="11"/>
      <c r="D719" s="6"/>
      <c r="E719" s="11"/>
      <c r="F719" s="11"/>
      <c r="G719" s="11"/>
      <c r="H719" s="11"/>
      <c r="I719" s="11"/>
      <c r="J719" s="11"/>
      <c r="K719" s="11"/>
      <c r="L719" s="11"/>
      <c r="M719" s="11"/>
    </row>
    <row r="720" spans="1:13" ht="14.25" customHeight="1" x14ac:dyDescent="0.2">
      <c r="A720" s="11"/>
      <c r="B720" s="11"/>
      <c r="C720" s="11"/>
      <c r="D720" s="6"/>
      <c r="E720" s="11"/>
      <c r="F720" s="11"/>
      <c r="G720" s="11"/>
      <c r="H720" s="11"/>
      <c r="I720" s="11"/>
      <c r="J720" s="11"/>
      <c r="K720" s="11"/>
      <c r="L720" s="11"/>
      <c r="M720" s="11"/>
    </row>
    <row r="721" spans="1:13" ht="14.25" customHeight="1" x14ac:dyDescent="0.2">
      <c r="A721" s="11"/>
      <c r="B721" s="11"/>
      <c r="C721" s="11"/>
      <c r="D721" s="6"/>
      <c r="E721" s="11"/>
      <c r="F721" s="11"/>
      <c r="G721" s="11"/>
      <c r="H721" s="11"/>
      <c r="I721" s="11"/>
      <c r="J721" s="11"/>
      <c r="K721" s="11"/>
      <c r="L721" s="11"/>
      <c r="M721" s="11"/>
    </row>
    <row r="722" spans="1:13" ht="14.25" customHeight="1" x14ac:dyDescent="0.2">
      <c r="A722" s="11"/>
      <c r="B722" s="11"/>
      <c r="C722" s="11"/>
      <c r="D722" s="6"/>
      <c r="E722" s="11"/>
      <c r="F722" s="11"/>
      <c r="G722" s="11"/>
      <c r="H722" s="11"/>
      <c r="I722" s="11"/>
      <c r="J722" s="11"/>
      <c r="K722" s="11"/>
      <c r="L722" s="11"/>
      <c r="M722" s="11"/>
    </row>
    <row r="723" spans="1:13" ht="14.25" customHeight="1" x14ac:dyDescent="0.2">
      <c r="A723" s="11"/>
      <c r="B723" s="11"/>
      <c r="C723" s="11"/>
      <c r="D723" s="6"/>
      <c r="E723" s="11"/>
      <c r="F723" s="11"/>
      <c r="G723" s="11"/>
      <c r="H723" s="11"/>
      <c r="I723" s="11"/>
      <c r="J723" s="11"/>
      <c r="K723" s="11"/>
      <c r="L723" s="11"/>
      <c r="M723" s="11"/>
    </row>
    <row r="724" spans="1:13" ht="14.25" customHeight="1" x14ac:dyDescent="0.2">
      <c r="A724" s="11"/>
      <c r="B724" s="11"/>
      <c r="C724" s="11"/>
      <c r="D724" s="6"/>
      <c r="E724" s="11"/>
      <c r="F724" s="11"/>
      <c r="G724" s="11"/>
      <c r="H724" s="11"/>
      <c r="I724" s="11"/>
      <c r="J724" s="11"/>
      <c r="K724" s="11"/>
      <c r="L724" s="11"/>
      <c r="M724" s="11"/>
    </row>
    <row r="725" spans="1:13" ht="14.25" customHeight="1" x14ac:dyDescent="0.2">
      <c r="A725" s="11"/>
      <c r="B725" s="11"/>
      <c r="C725" s="11"/>
      <c r="D725" s="6"/>
      <c r="E725" s="11"/>
      <c r="F725" s="11"/>
      <c r="G725" s="11"/>
      <c r="H725" s="11"/>
      <c r="I725" s="11"/>
      <c r="J725" s="11"/>
      <c r="K725" s="11"/>
      <c r="L725" s="11"/>
      <c r="M725" s="11"/>
    </row>
    <row r="726" spans="1:13" ht="14.25" customHeight="1" x14ac:dyDescent="0.2">
      <c r="A726" s="11"/>
      <c r="B726" s="11"/>
      <c r="C726" s="11"/>
      <c r="D726" s="6"/>
      <c r="E726" s="11"/>
      <c r="F726" s="11"/>
      <c r="G726" s="11"/>
      <c r="H726" s="11"/>
      <c r="I726" s="11"/>
      <c r="J726" s="11"/>
      <c r="K726" s="11"/>
      <c r="L726" s="11"/>
      <c r="M726" s="11"/>
    </row>
    <row r="727" spans="1:13" ht="14.25" customHeight="1" x14ac:dyDescent="0.2">
      <c r="A727" s="11"/>
      <c r="B727" s="11"/>
      <c r="C727" s="11"/>
      <c r="D727" s="6"/>
      <c r="E727" s="11"/>
      <c r="F727" s="11"/>
      <c r="G727" s="11"/>
      <c r="H727" s="11"/>
      <c r="I727" s="11"/>
      <c r="J727" s="11"/>
      <c r="K727" s="11"/>
      <c r="L727" s="11"/>
      <c r="M727" s="11"/>
    </row>
    <row r="728" spans="1:13" ht="14.25" customHeight="1" x14ac:dyDescent="0.2">
      <c r="A728" s="11"/>
      <c r="B728" s="11"/>
      <c r="C728" s="11"/>
      <c r="D728" s="6"/>
      <c r="E728" s="11"/>
      <c r="F728" s="11"/>
      <c r="G728" s="11"/>
      <c r="H728" s="11"/>
      <c r="I728" s="11"/>
      <c r="J728" s="11"/>
      <c r="K728" s="11"/>
      <c r="L728" s="11"/>
      <c r="M728" s="11"/>
    </row>
    <row r="729" spans="1:13" ht="14.25" customHeight="1" x14ac:dyDescent="0.2">
      <c r="A729" s="11"/>
      <c r="B729" s="11"/>
      <c r="C729" s="11"/>
      <c r="D729" s="6"/>
      <c r="E729" s="11"/>
      <c r="F729" s="11"/>
      <c r="G729" s="11"/>
      <c r="H729" s="11"/>
      <c r="I729" s="11"/>
      <c r="J729" s="11"/>
      <c r="K729" s="11"/>
      <c r="L729" s="11"/>
      <c r="M729" s="11"/>
    </row>
    <row r="730" spans="1:13" ht="14.25" customHeight="1" x14ac:dyDescent="0.2">
      <c r="A730" s="11"/>
      <c r="B730" s="11"/>
      <c r="C730" s="11"/>
      <c r="D730" s="6"/>
      <c r="E730" s="11"/>
      <c r="F730" s="11"/>
      <c r="G730" s="11"/>
      <c r="H730" s="11"/>
      <c r="I730" s="11"/>
      <c r="J730" s="11"/>
      <c r="K730" s="11"/>
      <c r="L730" s="11"/>
      <c r="M730" s="11"/>
    </row>
    <row r="731" spans="1:13" ht="14.25" customHeight="1" x14ac:dyDescent="0.2">
      <c r="A731" s="11"/>
      <c r="B731" s="11"/>
      <c r="C731" s="11"/>
      <c r="D731" s="6"/>
      <c r="E731" s="11"/>
      <c r="F731" s="11"/>
      <c r="G731" s="11"/>
      <c r="H731" s="11"/>
      <c r="I731" s="11"/>
      <c r="J731" s="11"/>
      <c r="K731" s="11"/>
      <c r="L731" s="11"/>
      <c r="M731" s="11"/>
    </row>
    <row r="732" spans="1:13" ht="14.25" customHeight="1" x14ac:dyDescent="0.2">
      <c r="A732" s="11"/>
      <c r="B732" s="11"/>
      <c r="C732" s="11"/>
      <c r="D732" s="6"/>
      <c r="E732" s="11"/>
      <c r="F732" s="11"/>
      <c r="G732" s="11"/>
      <c r="H732" s="11"/>
      <c r="I732" s="11"/>
      <c r="J732" s="11"/>
      <c r="K732" s="11"/>
      <c r="L732" s="11"/>
      <c r="M732" s="11"/>
    </row>
    <row r="733" spans="1:13" ht="14.25" customHeight="1" x14ac:dyDescent="0.2">
      <c r="A733" s="11"/>
      <c r="B733" s="11"/>
      <c r="C733" s="11"/>
      <c r="D733" s="6"/>
      <c r="E733" s="11"/>
      <c r="F733" s="11"/>
      <c r="G733" s="11"/>
      <c r="H733" s="11"/>
      <c r="I733" s="11"/>
      <c r="J733" s="11"/>
      <c r="K733" s="11"/>
      <c r="L733" s="11"/>
      <c r="M733" s="11"/>
    </row>
    <row r="734" spans="1:13" ht="14.25" customHeight="1" x14ac:dyDescent="0.2">
      <c r="A734" s="11"/>
      <c r="B734" s="11"/>
      <c r="C734" s="11"/>
      <c r="D734" s="6"/>
      <c r="E734" s="11"/>
      <c r="F734" s="11"/>
      <c r="G734" s="11"/>
      <c r="H734" s="11"/>
      <c r="I734" s="11"/>
      <c r="J734" s="11"/>
      <c r="K734" s="11"/>
      <c r="L734" s="11"/>
      <c r="M734" s="11"/>
    </row>
    <row r="735" spans="1:13" ht="14.25" customHeight="1" x14ac:dyDescent="0.2">
      <c r="A735" s="11"/>
      <c r="B735" s="11"/>
      <c r="C735" s="11"/>
      <c r="D735" s="6"/>
      <c r="E735" s="11"/>
      <c r="F735" s="11"/>
      <c r="G735" s="11"/>
      <c r="H735" s="11"/>
      <c r="I735" s="11"/>
      <c r="J735" s="11"/>
      <c r="K735" s="11"/>
      <c r="L735" s="11"/>
      <c r="M735" s="11"/>
    </row>
    <row r="736" spans="1:13" ht="14.25" customHeight="1" x14ac:dyDescent="0.2">
      <c r="A736" s="11"/>
      <c r="B736" s="11"/>
      <c r="C736" s="11"/>
      <c r="D736" s="6"/>
      <c r="E736" s="11"/>
      <c r="F736" s="11"/>
      <c r="G736" s="11"/>
      <c r="H736" s="11"/>
      <c r="I736" s="11"/>
      <c r="J736" s="11"/>
      <c r="K736" s="11"/>
      <c r="L736" s="11"/>
      <c r="M736" s="11"/>
    </row>
    <row r="737" spans="1:13" ht="14.25" customHeight="1" x14ac:dyDescent="0.2">
      <c r="A737" s="11"/>
      <c r="B737" s="11"/>
      <c r="C737" s="11"/>
      <c r="D737" s="6"/>
      <c r="E737" s="11"/>
      <c r="F737" s="11"/>
      <c r="G737" s="11"/>
      <c r="H737" s="11"/>
      <c r="I737" s="11"/>
      <c r="J737" s="11"/>
      <c r="K737" s="11"/>
      <c r="L737" s="11"/>
      <c r="M737" s="11"/>
    </row>
    <row r="738" spans="1:13" ht="14.25" customHeight="1" x14ac:dyDescent="0.2">
      <c r="A738" s="11"/>
      <c r="B738" s="11"/>
      <c r="C738" s="11"/>
      <c r="D738" s="6"/>
      <c r="E738" s="11"/>
      <c r="F738" s="11"/>
      <c r="G738" s="11"/>
      <c r="H738" s="11"/>
      <c r="I738" s="11"/>
      <c r="J738" s="11"/>
      <c r="K738" s="11"/>
      <c r="L738" s="11"/>
      <c r="M738" s="11"/>
    </row>
    <row r="739" spans="1:13" ht="14.25" customHeight="1" x14ac:dyDescent="0.2">
      <c r="A739" s="11"/>
      <c r="B739" s="11"/>
      <c r="C739" s="11"/>
      <c r="D739" s="6"/>
      <c r="E739" s="11"/>
      <c r="F739" s="11"/>
      <c r="G739" s="11"/>
      <c r="H739" s="11"/>
      <c r="I739" s="11"/>
      <c r="J739" s="11"/>
      <c r="K739" s="11"/>
      <c r="L739" s="11"/>
      <c r="M739" s="11"/>
    </row>
    <row r="740" spans="1:13" ht="14.25" customHeight="1" x14ac:dyDescent="0.2">
      <c r="A740" s="11"/>
      <c r="B740" s="11"/>
      <c r="C740" s="11"/>
      <c r="D740" s="6"/>
      <c r="E740" s="11"/>
      <c r="F740" s="11"/>
      <c r="G740" s="11"/>
      <c r="H740" s="11"/>
      <c r="I740" s="11"/>
      <c r="J740" s="11"/>
      <c r="K740" s="11"/>
      <c r="L740" s="11"/>
      <c r="M740" s="11"/>
    </row>
    <row r="741" spans="1:13" ht="14.25" customHeight="1" x14ac:dyDescent="0.2">
      <c r="A741" s="11"/>
      <c r="B741" s="11"/>
      <c r="C741" s="11"/>
      <c r="D741" s="6"/>
      <c r="E741" s="11"/>
      <c r="F741" s="11"/>
      <c r="G741" s="11"/>
      <c r="H741" s="11"/>
      <c r="I741" s="11"/>
      <c r="J741" s="11"/>
      <c r="K741" s="11"/>
      <c r="L741" s="11"/>
      <c r="M741" s="11"/>
    </row>
    <row r="742" spans="1:13" ht="14.25" customHeight="1" x14ac:dyDescent="0.2">
      <c r="A742" s="11"/>
      <c r="B742" s="11"/>
      <c r="C742" s="11"/>
      <c r="D742" s="6"/>
      <c r="E742" s="11"/>
      <c r="F742" s="11"/>
      <c r="G742" s="11"/>
      <c r="H742" s="11"/>
      <c r="I742" s="11"/>
      <c r="J742" s="11"/>
      <c r="K742" s="11"/>
      <c r="L742" s="11"/>
      <c r="M742" s="11"/>
    </row>
    <row r="743" spans="1:13" ht="14.25" customHeight="1" x14ac:dyDescent="0.2">
      <c r="A743" s="11"/>
      <c r="B743" s="11"/>
      <c r="C743" s="11"/>
      <c r="D743" s="6"/>
      <c r="E743" s="11"/>
      <c r="F743" s="11"/>
      <c r="G743" s="11"/>
      <c r="H743" s="11"/>
      <c r="I743" s="11"/>
      <c r="J743" s="11"/>
      <c r="K743" s="11"/>
      <c r="L743" s="11"/>
      <c r="M743" s="11"/>
    </row>
    <row r="744" spans="1:13" ht="14.25" customHeight="1" x14ac:dyDescent="0.2">
      <c r="A744" s="11"/>
      <c r="B744" s="11"/>
      <c r="C744" s="11"/>
      <c r="D744" s="6"/>
      <c r="E744" s="11"/>
      <c r="F744" s="11"/>
      <c r="G744" s="11"/>
      <c r="H744" s="11"/>
      <c r="I744" s="11"/>
      <c r="J744" s="11"/>
      <c r="K744" s="11"/>
      <c r="L744" s="11"/>
      <c r="M744" s="11"/>
    </row>
    <row r="745" spans="1:13" ht="14.25" customHeight="1" x14ac:dyDescent="0.2">
      <c r="A745" s="11"/>
      <c r="B745" s="11"/>
      <c r="C745" s="11"/>
      <c r="D745" s="6"/>
      <c r="E745" s="11"/>
      <c r="F745" s="11"/>
      <c r="G745" s="11"/>
      <c r="H745" s="11"/>
      <c r="I745" s="11"/>
      <c r="J745" s="11"/>
      <c r="K745" s="11"/>
      <c r="L745" s="11"/>
      <c r="M745" s="11"/>
    </row>
    <row r="746" spans="1:13" ht="14.25" customHeight="1" x14ac:dyDescent="0.2">
      <c r="A746" s="11"/>
      <c r="B746" s="11"/>
      <c r="C746" s="11"/>
      <c r="D746" s="6"/>
      <c r="E746" s="11"/>
      <c r="F746" s="11"/>
      <c r="G746" s="11"/>
      <c r="H746" s="11"/>
      <c r="I746" s="11"/>
      <c r="J746" s="11"/>
      <c r="K746" s="11"/>
      <c r="L746" s="11"/>
      <c r="M746" s="11"/>
    </row>
    <row r="747" spans="1:13" ht="14.25" customHeight="1" x14ac:dyDescent="0.2">
      <c r="A747" s="11"/>
      <c r="B747" s="11"/>
      <c r="C747" s="11"/>
      <c r="D747" s="6"/>
      <c r="E747" s="11"/>
      <c r="F747" s="11"/>
      <c r="G747" s="11"/>
      <c r="H747" s="11"/>
      <c r="I747" s="11"/>
      <c r="J747" s="11"/>
      <c r="K747" s="11"/>
      <c r="L747" s="11"/>
      <c r="M747" s="11"/>
    </row>
    <row r="748" spans="1:13" ht="14.25" customHeight="1" x14ac:dyDescent="0.2">
      <c r="A748" s="11"/>
      <c r="B748" s="11"/>
      <c r="C748" s="11"/>
      <c r="D748" s="6"/>
      <c r="E748" s="11"/>
      <c r="F748" s="11"/>
      <c r="G748" s="11"/>
      <c r="H748" s="11"/>
      <c r="I748" s="11"/>
      <c r="J748" s="11"/>
      <c r="K748" s="11"/>
      <c r="L748" s="11"/>
      <c r="M748" s="11"/>
    </row>
    <row r="749" spans="1:13" ht="14.25" customHeight="1" x14ac:dyDescent="0.2">
      <c r="A749" s="11"/>
      <c r="B749" s="11"/>
      <c r="C749" s="11"/>
      <c r="D749" s="6"/>
      <c r="E749" s="11"/>
      <c r="F749" s="11"/>
      <c r="G749" s="11"/>
      <c r="H749" s="11"/>
      <c r="I749" s="11"/>
      <c r="J749" s="11"/>
      <c r="K749" s="11"/>
      <c r="L749" s="11"/>
      <c r="M749" s="11"/>
    </row>
    <row r="750" spans="1:13" ht="14.25" customHeight="1" x14ac:dyDescent="0.2">
      <c r="A750" s="11"/>
      <c r="B750" s="11"/>
      <c r="C750" s="11"/>
      <c r="D750" s="6"/>
      <c r="E750" s="11"/>
      <c r="F750" s="11"/>
      <c r="G750" s="11"/>
      <c r="H750" s="11"/>
      <c r="I750" s="11"/>
      <c r="J750" s="11"/>
      <c r="K750" s="11"/>
      <c r="L750" s="11"/>
      <c r="M750" s="11"/>
    </row>
    <row r="751" spans="1:13" ht="14.25" customHeight="1" x14ac:dyDescent="0.2">
      <c r="A751" s="11"/>
      <c r="B751" s="11"/>
      <c r="C751" s="11"/>
      <c r="D751" s="6"/>
      <c r="E751" s="11"/>
      <c r="F751" s="11"/>
      <c r="G751" s="11"/>
      <c r="H751" s="11"/>
      <c r="I751" s="11"/>
      <c r="J751" s="11"/>
      <c r="K751" s="11"/>
      <c r="L751" s="11"/>
      <c r="M751" s="11"/>
    </row>
    <row r="752" spans="1:13" ht="14.25" customHeight="1" x14ac:dyDescent="0.2">
      <c r="A752" s="11"/>
      <c r="B752" s="11"/>
      <c r="C752" s="11"/>
      <c r="D752" s="6"/>
      <c r="E752" s="11"/>
      <c r="F752" s="11"/>
      <c r="G752" s="11"/>
      <c r="H752" s="11"/>
      <c r="I752" s="11"/>
      <c r="J752" s="11"/>
      <c r="K752" s="11"/>
      <c r="L752" s="11"/>
      <c r="M752" s="11"/>
    </row>
    <row r="753" spans="1:13" ht="14.25" customHeight="1" x14ac:dyDescent="0.2">
      <c r="A753" s="11"/>
      <c r="B753" s="11"/>
      <c r="C753" s="11"/>
      <c r="D753" s="6"/>
      <c r="E753" s="11"/>
      <c r="F753" s="11"/>
      <c r="G753" s="11"/>
      <c r="H753" s="11"/>
      <c r="I753" s="11"/>
      <c r="J753" s="11"/>
      <c r="K753" s="11"/>
      <c r="L753" s="11"/>
      <c r="M753" s="11"/>
    </row>
    <row r="754" spans="1:13" ht="14.25" customHeight="1" x14ac:dyDescent="0.2">
      <c r="A754" s="11"/>
      <c r="B754" s="11"/>
      <c r="C754" s="11"/>
      <c r="D754" s="6"/>
      <c r="E754" s="11"/>
      <c r="F754" s="11"/>
      <c r="G754" s="11"/>
      <c r="H754" s="11"/>
      <c r="I754" s="11"/>
      <c r="J754" s="11"/>
      <c r="K754" s="11"/>
      <c r="L754" s="11"/>
      <c r="M754" s="11"/>
    </row>
    <row r="755" spans="1:13" ht="14.25" customHeight="1" x14ac:dyDescent="0.2">
      <c r="A755" s="11"/>
      <c r="B755" s="11"/>
      <c r="C755" s="11"/>
      <c r="D755" s="6"/>
      <c r="E755" s="11"/>
      <c r="F755" s="11"/>
      <c r="G755" s="11"/>
      <c r="H755" s="11"/>
      <c r="I755" s="11"/>
      <c r="J755" s="11"/>
      <c r="K755" s="11"/>
      <c r="L755" s="11"/>
      <c r="M755" s="11"/>
    </row>
    <row r="756" spans="1:13" ht="14.25" customHeight="1" x14ac:dyDescent="0.2">
      <c r="A756" s="11"/>
      <c r="B756" s="11"/>
      <c r="C756" s="11"/>
      <c r="D756" s="6"/>
      <c r="E756" s="11"/>
      <c r="F756" s="11"/>
      <c r="G756" s="11"/>
      <c r="H756" s="11"/>
      <c r="I756" s="11"/>
      <c r="J756" s="11"/>
      <c r="K756" s="11"/>
      <c r="L756" s="11"/>
      <c r="M756" s="11"/>
    </row>
    <row r="757" spans="1:13" ht="14.25" customHeight="1" x14ac:dyDescent="0.2">
      <c r="A757" s="11"/>
      <c r="B757" s="11"/>
      <c r="C757" s="11"/>
      <c r="D757" s="6"/>
      <c r="E757" s="11"/>
      <c r="F757" s="11"/>
      <c r="G757" s="11"/>
      <c r="H757" s="11"/>
      <c r="I757" s="11"/>
      <c r="J757" s="11"/>
      <c r="K757" s="11"/>
      <c r="L757" s="11"/>
      <c r="M757" s="11"/>
    </row>
    <row r="758" spans="1:13" ht="14.25" customHeight="1" x14ac:dyDescent="0.2">
      <c r="A758" s="11"/>
      <c r="B758" s="11"/>
      <c r="C758" s="11"/>
      <c r="D758" s="6"/>
      <c r="E758" s="11"/>
      <c r="F758" s="11"/>
      <c r="G758" s="11"/>
      <c r="H758" s="11"/>
      <c r="I758" s="11"/>
      <c r="J758" s="11"/>
      <c r="K758" s="11"/>
      <c r="L758" s="11"/>
      <c r="M758" s="11"/>
    </row>
    <row r="759" spans="1:13" ht="14.25" customHeight="1" x14ac:dyDescent="0.2">
      <c r="A759" s="11"/>
      <c r="B759" s="11"/>
      <c r="C759" s="11"/>
      <c r="D759" s="6"/>
      <c r="E759" s="11"/>
      <c r="F759" s="11"/>
      <c r="G759" s="11"/>
      <c r="H759" s="11"/>
      <c r="I759" s="11"/>
      <c r="J759" s="11"/>
      <c r="K759" s="11"/>
      <c r="L759" s="11"/>
      <c r="M759" s="11"/>
    </row>
    <row r="760" spans="1:13" ht="14.25" customHeight="1" x14ac:dyDescent="0.2">
      <c r="A760" s="11"/>
      <c r="B760" s="11"/>
      <c r="C760" s="11"/>
      <c r="D760" s="6"/>
      <c r="E760" s="11"/>
      <c r="F760" s="11"/>
      <c r="G760" s="11"/>
      <c r="H760" s="11"/>
      <c r="I760" s="11"/>
      <c r="J760" s="11"/>
      <c r="K760" s="11"/>
      <c r="L760" s="11"/>
      <c r="M760" s="11"/>
    </row>
    <row r="761" spans="1:13" ht="14.25" customHeight="1" x14ac:dyDescent="0.2">
      <c r="A761" s="11"/>
      <c r="B761" s="11"/>
      <c r="C761" s="11"/>
      <c r="D761" s="6"/>
      <c r="E761" s="11"/>
      <c r="F761" s="11"/>
      <c r="G761" s="11"/>
      <c r="H761" s="11"/>
      <c r="I761" s="11"/>
      <c r="J761" s="11"/>
      <c r="K761" s="11"/>
      <c r="L761" s="11"/>
      <c r="M761" s="11"/>
    </row>
    <row r="762" spans="1:13" ht="14.25" customHeight="1" x14ac:dyDescent="0.2">
      <c r="A762" s="11"/>
      <c r="B762" s="11"/>
      <c r="C762" s="11"/>
      <c r="D762" s="6"/>
      <c r="E762" s="11"/>
      <c r="F762" s="11"/>
      <c r="G762" s="11"/>
      <c r="H762" s="11"/>
      <c r="I762" s="11"/>
      <c r="J762" s="11"/>
      <c r="K762" s="11"/>
      <c r="L762" s="11"/>
      <c r="M762" s="11"/>
    </row>
    <row r="763" spans="1:13" ht="14.25" customHeight="1" x14ac:dyDescent="0.2">
      <c r="A763" s="11"/>
      <c r="B763" s="11"/>
      <c r="C763" s="11"/>
      <c r="D763" s="6"/>
      <c r="E763" s="11"/>
      <c r="F763" s="11"/>
      <c r="G763" s="11"/>
      <c r="H763" s="11"/>
      <c r="I763" s="11"/>
      <c r="J763" s="11"/>
      <c r="K763" s="11"/>
      <c r="L763" s="11"/>
      <c r="M763" s="11"/>
    </row>
    <row r="764" spans="1:13" ht="14.25" customHeight="1" x14ac:dyDescent="0.2">
      <c r="A764" s="11"/>
      <c r="B764" s="11"/>
      <c r="C764" s="11"/>
      <c r="D764" s="6"/>
      <c r="E764" s="11"/>
      <c r="F764" s="11"/>
      <c r="G764" s="11"/>
      <c r="H764" s="11"/>
      <c r="I764" s="11"/>
      <c r="J764" s="11"/>
      <c r="K764" s="11"/>
      <c r="L764" s="11"/>
      <c r="M764" s="11"/>
    </row>
    <row r="765" spans="1:13" ht="14.25" customHeight="1" x14ac:dyDescent="0.2">
      <c r="A765" s="11"/>
      <c r="B765" s="11"/>
      <c r="C765" s="11"/>
      <c r="D765" s="6"/>
      <c r="E765" s="11"/>
      <c r="F765" s="11"/>
      <c r="G765" s="11"/>
      <c r="H765" s="11"/>
      <c r="I765" s="11"/>
      <c r="J765" s="11"/>
      <c r="K765" s="11"/>
      <c r="L765" s="11"/>
      <c r="M765" s="11"/>
    </row>
    <row r="766" spans="1:13" ht="14.25" customHeight="1" x14ac:dyDescent="0.2">
      <c r="A766" s="11"/>
      <c r="B766" s="11"/>
      <c r="C766" s="11"/>
      <c r="D766" s="6"/>
      <c r="E766" s="11"/>
      <c r="F766" s="11"/>
      <c r="G766" s="11"/>
      <c r="H766" s="11"/>
      <c r="I766" s="11"/>
      <c r="J766" s="11"/>
      <c r="K766" s="11"/>
      <c r="L766" s="11"/>
      <c r="M766" s="11"/>
    </row>
    <row r="767" spans="1:13" ht="14.25" customHeight="1" x14ac:dyDescent="0.2">
      <c r="A767" s="11"/>
      <c r="B767" s="11"/>
      <c r="C767" s="11"/>
      <c r="D767" s="6"/>
      <c r="E767" s="11"/>
      <c r="F767" s="11"/>
      <c r="G767" s="11"/>
      <c r="H767" s="11"/>
      <c r="I767" s="11"/>
      <c r="J767" s="11"/>
      <c r="K767" s="11"/>
      <c r="L767" s="11"/>
      <c r="M767" s="11"/>
    </row>
    <row r="768" spans="1:13" ht="14.25" customHeight="1" x14ac:dyDescent="0.2">
      <c r="A768" s="11"/>
      <c r="B768" s="11"/>
      <c r="C768" s="11"/>
      <c r="D768" s="6"/>
      <c r="E768" s="11"/>
      <c r="F768" s="11"/>
      <c r="G768" s="11"/>
      <c r="H768" s="11"/>
      <c r="I768" s="11"/>
      <c r="J768" s="11"/>
      <c r="K768" s="11"/>
      <c r="L768" s="11"/>
      <c r="M768" s="11"/>
    </row>
    <row r="769" spans="1:13" ht="14.25" customHeight="1" x14ac:dyDescent="0.2">
      <c r="A769" s="11"/>
      <c r="B769" s="11"/>
      <c r="C769" s="11"/>
      <c r="D769" s="6"/>
      <c r="E769" s="11"/>
      <c r="F769" s="11"/>
      <c r="G769" s="11"/>
      <c r="H769" s="11"/>
      <c r="I769" s="11"/>
      <c r="J769" s="11"/>
      <c r="K769" s="11"/>
      <c r="L769" s="11"/>
      <c r="M769" s="11"/>
    </row>
    <row r="770" spans="1:13" ht="14.25" customHeight="1" x14ac:dyDescent="0.2">
      <c r="A770" s="11"/>
      <c r="B770" s="11"/>
      <c r="C770" s="11"/>
      <c r="D770" s="6"/>
      <c r="E770" s="11"/>
      <c r="F770" s="11"/>
      <c r="G770" s="11"/>
      <c r="H770" s="11"/>
      <c r="I770" s="11"/>
      <c r="J770" s="11"/>
      <c r="K770" s="11"/>
      <c r="L770" s="11"/>
      <c r="M770" s="11"/>
    </row>
    <row r="771" spans="1:13" ht="14.25" customHeight="1" x14ac:dyDescent="0.2">
      <c r="A771" s="11"/>
      <c r="B771" s="11"/>
      <c r="C771" s="11"/>
      <c r="D771" s="6"/>
      <c r="E771" s="11"/>
      <c r="F771" s="11"/>
      <c r="G771" s="11"/>
      <c r="H771" s="11"/>
      <c r="I771" s="11"/>
      <c r="J771" s="11"/>
      <c r="K771" s="11"/>
      <c r="L771" s="11"/>
      <c r="M771" s="11"/>
    </row>
    <row r="772" spans="1:13" ht="14.25" customHeight="1" x14ac:dyDescent="0.2">
      <c r="A772" s="11"/>
      <c r="B772" s="11"/>
      <c r="C772" s="11"/>
      <c r="D772" s="6"/>
      <c r="E772" s="11"/>
      <c r="F772" s="11"/>
      <c r="G772" s="11"/>
      <c r="H772" s="11"/>
      <c r="I772" s="11"/>
      <c r="J772" s="11"/>
      <c r="K772" s="11"/>
      <c r="L772" s="11"/>
      <c r="M772" s="11"/>
    </row>
    <row r="773" spans="1:13" ht="14.25" customHeight="1" x14ac:dyDescent="0.2">
      <c r="A773" s="11"/>
      <c r="B773" s="11"/>
      <c r="C773" s="11"/>
      <c r="D773" s="6"/>
      <c r="E773" s="11"/>
      <c r="F773" s="11"/>
      <c r="G773" s="11"/>
      <c r="H773" s="11"/>
      <c r="I773" s="11"/>
      <c r="J773" s="11"/>
      <c r="K773" s="11"/>
      <c r="L773" s="11"/>
      <c r="M773" s="11"/>
    </row>
    <row r="774" spans="1:13" ht="14.25" customHeight="1" x14ac:dyDescent="0.2">
      <c r="A774" s="11"/>
      <c r="B774" s="11"/>
      <c r="C774" s="11"/>
      <c r="D774" s="6"/>
      <c r="E774" s="11"/>
      <c r="F774" s="11"/>
      <c r="G774" s="11"/>
      <c r="H774" s="11"/>
      <c r="I774" s="11"/>
      <c r="J774" s="11"/>
      <c r="K774" s="11"/>
      <c r="L774" s="11"/>
      <c r="M774" s="11"/>
    </row>
    <row r="775" spans="1:13" ht="14.25" customHeight="1" x14ac:dyDescent="0.2">
      <c r="A775" s="11"/>
      <c r="B775" s="11"/>
      <c r="C775" s="11"/>
      <c r="D775" s="6"/>
      <c r="E775" s="11"/>
      <c r="F775" s="11"/>
      <c r="G775" s="11"/>
      <c r="H775" s="11"/>
      <c r="I775" s="11"/>
      <c r="J775" s="11"/>
      <c r="K775" s="11"/>
      <c r="L775" s="11"/>
      <c r="M775" s="11"/>
    </row>
    <row r="776" spans="1:13" ht="14.25" customHeight="1" x14ac:dyDescent="0.2">
      <c r="A776" s="11"/>
      <c r="B776" s="11"/>
      <c r="C776" s="11"/>
      <c r="D776" s="6"/>
      <c r="E776" s="11"/>
      <c r="F776" s="11"/>
      <c r="G776" s="11"/>
      <c r="H776" s="11"/>
      <c r="I776" s="11"/>
      <c r="J776" s="11"/>
      <c r="K776" s="11"/>
      <c r="L776" s="11"/>
      <c r="M776" s="11"/>
    </row>
    <row r="777" spans="1:13" ht="14.25" customHeight="1" x14ac:dyDescent="0.2">
      <c r="A777" s="11"/>
      <c r="B777" s="11"/>
      <c r="C777" s="11"/>
      <c r="D777" s="6"/>
      <c r="E777" s="11"/>
      <c r="F777" s="11"/>
      <c r="G777" s="11"/>
      <c r="H777" s="11"/>
      <c r="I777" s="11"/>
      <c r="J777" s="11"/>
      <c r="K777" s="11"/>
      <c r="L777" s="11"/>
      <c r="M777" s="11"/>
    </row>
    <row r="778" spans="1:13" ht="14.25" customHeight="1" x14ac:dyDescent="0.2">
      <c r="A778" s="11"/>
      <c r="B778" s="11"/>
      <c r="C778" s="11"/>
      <c r="D778" s="6"/>
      <c r="E778" s="11"/>
      <c r="F778" s="11"/>
      <c r="G778" s="11"/>
      <c r="H778" s="11"/>
      <c r="I778" s="11"/>
      <c r="J778" s="11"/>
      <c r="K778" s="11"/>
      <c r="L778" s="11"/>
      <c r="M778" s="11"/>
    </row>
    <row r="779" spans="1:13" ht="14.25" customHeight="1" x14ac:dyDescent="0.2">
      <c r="A779" s="11"/>
      <c r="B779" s="11"/>
      <c r="C779" s="11"/>
      <c r="D779" s="6"/>
      <c r="E779" s="11"/>
      <c r="F779" s="11"/>
      <c r="G779" s="11"/>
      <c r="H779" s="11"/>
      <c r="I779" s="11"/>
      <c r="J779" s="11"/>
      <c r="K779" s="11"/>
      <c r="L779" s="11"/>
      <c r="M779" s="11"/>
    </row>
    <row r="780" spans="1:13" ht="14.25" customHeight="1" x14ac:dyDescent="0.2">
      <c r="A780" s="11"/>
      <c r="B780" s="11"/>
      <c r="C780" s="11"/>
      <c r="D780" s="6"/>
      <c r="E780" s="11"/>
      <c r="F780" s="11"/>
      <c r="G780" s="11"/>
      <c r="H780" s="11"/>
      <c r="I780" s="11"/>
      <c r="J780" s="11"/>
      <c r="K780" s="11"/>
      <c r="L780" s="11"/>
      <c r="M780" s="11"/>
    </row>
    <row r="781" spans="1:13" ht="14.25" customHeight="1" x14ac:dyDescent="0.2">
      <c r="A781" s="11"/>
      <c r="B781" s="11"/>
      <c r="C781" s="11"/>
      <c r="D781" s="6"/>
      <c r="E781" s="11"/>
      <c r="F781" s="11"/>
      <c r="G781" s="11"/>
      <c r="H781" s="11"/>
      <c r="I781" s="11"/>
      <c r="J781" s="11"/>
      <c r="K781" s="11"/>
      <c r="L781" s="11"/>
      <c r="M781" s="11"/>
    </row>
    <row r="782" spans="1:13" ht="14.25" customHeight="1" x14ac:dyDescent="0.2">
      <c r="A782" s="11"/>
      <c r="B782" s="11"/>
      <c r="C782" s="11"/>
      <c r="D782" s="6"/>
      <c r="E782" s="11"/>
      <c r="F782" s="11"/>
      <c r="G782" s="11"/>
      <c r="H782" s="11"/>
      <c r="I782" s="11"/>
      <c r="J782" s="11"/>
      <c r="K782" s="11"/>
      <c r="L782" s="11"/>
      <c r="M782" s="11"/>
    </row>
    <row r="783" spans="1:13" ht="14.25" customHeight="1" x14ac:dyDescent="0.2">
      <c r="A783" s="11"/>
      <c r="B783" s="11"/>
      <c r="C783" s="11"/>
      <c r="D783" s="6"/>
      <c r="E783" s="11"/>
      <c r="F783" s="11"/>
      <c r="G783" s="11"/>
      <c r="H783" s="11"/>
      <c r="I783" s="11"/>
      <c r="J783" s="11"/>
      <c r="K783" s="11"/>
      <c r="L783" s="11"/>
      <c r="M783" s="11"/>
    </row>
    <row r="784" spans="1:13" ht="14.25" customHeight="1" x14ac:dyDescent="0.2">
      <c r="A784" s="11"/>
      <c r="B784" s="11"/>
      <c r="C784" s="11"/>
      <c r="D784" s="6"/>
      <c r="E784" s="11"/>
      <c r="F784" s="11"/>
      <c r="G784" s="11"/>
      <c r="H784" s="11"/>
      <c r="I784" s="11"/>
      <c r="J784" s="11"/>
      <c r="K784" s="11"/>
      <c r="L784" s="11"/>
      <c r="M784" s="11"/>
    </row>
    <row r="785" spans="1:13" ht="14.25" customHeight="1" x14ac:dyDescent="0.2">
      <c r="A785" s="11"/>
      <c r="B785" s="11"/>
      <c r="C785" s="11"/>
      <c r="D785" s="6"/>
      <c r="E785" s="11"/>
      <c r="F785" s="11"/>
      <c r="G785" s="11"/>
      <c r="H785" s="11"/>
      <c r="I785" s="11"/>
      <c r="J785" s="11"/>
      <c r="K785" s="11"/>
      <c r="L785" s="11"/>
      <c r="M785" s="11"/>
    </row>
    <row r="786" spans="1:13" ht="14.25" customHeight="1" x14ac:dyDescent="0.2">
      <c r="A786" s="11"/>
      <c r="B786" s="11"/>
      <c r="C786" s="11"/>
      <c r="D786" s="6"/>
      <c r="E786" s="11"/>
      <c r="F786" s="11"/>
      <c r="G786" s="11"/>
      <c r="H786" s="11"/>
      <c r="I786" s="11"/>
      <c r="J786" s="11"/>
      <c r="K786" s="11"/>
      <c r="L786" s="11"/>
      <c r="M786" s="11"/>
    </row>
    <row r="787" spans="1:13" ht="14.25" customHeight="1" x14ac:dyDescent="0.2">
      <c r="A787" s="11"/>
      <c r="B787" s="11"/>
      <c r="C787" s="11"/>
      <c r="D787" s="6"/>
      <c r="E787" s="11"/>
      <c r="F787" s="11"/>
      <c r="G787" s="11"/>
      <c r="H787" s="11"/>
      <c r="I787" s="11"/>
      <c r="J787" s="11"/>
      <c r="K787" s="11"/>
      <c r="L787" s="11"/>
      <c r="M787" s="11"/>
    </row>
    <row r="788" spans="1:13" ht="14.25" customHeight="1" x14ac:dyDescent="0.2">
      <c r="A788" s="11"/>
      <c r="B788" s="11"/>
      <c r="C788" s="11"/>
      <c r="D788" s="6"/>
      <c r="E788" s="11"/>
      <c r="F788" s="11"/>
      <c r="G788" s="11"/>
      <c r="H788" s="11"/>
      <c r="I788" s="11"/>
      <c r="J788" s="11"/>
      <c r="K788" s="11"/>
      <c r="L788" s="11"/>
      <c r="M788" s="11"/>
    </row>
    <row r="789" spans="1:13" ht="14.25" customHeight="1" x14ac:dyDescent="0.2">
      <c r="A789" s="11"/>
      <c r="B789" s="11"/>
      <c r="C789" s="11"/>
      <c r="D789" s="6"/>
      <c r="E789" s="11"/>
      <c r="F789" s="11"/>
      <c r="G789" s="11"/>
      <c r="H789" s="11"/>
      <c r="I789" s="11"/>
      <c r="J789" s="11"/>
      <c r="K789" s="11"/>
      <c r="L789" s="11"/>
      <c r="M789" s="11"/>
    </row>
    <row r="790" spans="1:13" ht="14.25" customHeight="1" x14ac:dyDescent="0.2">
      <c r="A790" s="11"/>
      <c r="B790" s="11"/>
      <c r="C790" s="11"/>
      <c r="D790" s="6"/>
      <c r="E790" s="11"/>
      <c r="F790" s="11"/>
      <c r="G790" s="11"/>
      <c r="H790" s="11"/>
      <c r="I790" s="11"/>
      <c r="J790" s="11"/>
      <c r="K790" s="11"/>
      <c r="L790" s="11"/>
      <c r="M790" s="11"/>
    </row>
    <row r="791" spans="1:13" ht="14.25" customHeight="1" x14ac:dyDescent="0.2">
      <c r="A791" s="11"/>
      <c r="B791" s="11"/>
      <c r="C791" s="11"/>
      <c r="D791" s="6"/>
      <c r="E791" s="11"/>
      <c r="F791" s="11"/>
      <c r="G791" s="11"/>
      <c r="H791" s="11"/>
      <c r="I791" s="11"/>
      <c r="J791" s="11"/>
      <c r="K791" s="11"/>
      <c r="L791" s="11"/>
      <c r="M791" s="11"/>
    </row>
    <row r="792" spans="1:13" ht="14.25" customHeight="1" x14ac:dyDescent="0.2">
      <c r="A792" s="11"/>
      <c r="B792" s="11"/>
      <c r="C792" s="11"/>
      <c r="D792" s="6"/>
      <c r="E792" s="11"/>
      <c r="F792" s="11"/>
      <c r="G792" s="11"/>
      <c r="H792" s="11"/>
      <c r="I792" s="11"/>
      <c r="J792" s="11"/>
      <c r="K792" s="11"/>
      <c r="L792" s="11"/>
      <c r="M792" s="11"/>
    </row>
    <row r="793" spans="1:13" ht="14.25" customHeight="1" x14ac:dyDescent="0.2">
      <c r="A793" s="11"/>
      <c r="B793" s="11"/>
      <c r="C793" s="11"/>
      <c r="D793" s="6"/>
      <c r="E793" s="11"/>
      <c r="F793" s="11"/>
      <c r="G793" s="11"/>
      <c r="H793" s="11"/>
      <c r="I793" s="11"/>
      <c r="J793" s="11"/>
      <c r="K793" s="11"/>
      <c r="L793" s="11"/>
      <c r="M793" s="11"/>
    </row>
    <row r="794" spans="1:13" ht="14.25" customHeight="1" x14ac:dyDescent="0.2">
      <c r="A794" s="11"/>
      <c r="B794" s="11"/>
      <c r="C794" s="11"/>
      <c r="D794" s="6"/>
      <c r="E794" s="11"/>
      <c r="F794" s="11"/>
      <c r="G794" s="11"/>
      <c r="H794" s="11"/>
      <c r="I794" s="11"/>
      <c r="J794" s="11"/>
      <c r="K794" s="11"/>
      <c r="L794" s="11"/>
      <c r="M794" s="11"/>
    </row>
    <row r="795" spans="1:13" ht="14.25" customHeight="1" x14ac:dyDescent="0.2">
      <c r="A795" s="11"/>
      <c r="B795" s="11"/>
      <c r="C795" s="11"/>
      <c r="D795" s="6"/>
      <c r="E795" s="11"/>
      <c r="F795" s="11"/>
      <c r="G795" s="11"/>
      <c r="H795" s="11"/>
      <c r="I795" s="11"/>
      <c r="J795" s="11"/>
      <c r="K795" s="11"/>
      <c r="L795" s="11"/>
      <c r="M795" s="11"/>
    </row>
    <row r="796" spans="1:13" ht="14.25" customHeight="1" x14ac:dyDescent="0.2">
      <c r="A796" s="11"/>
      <c r="B796" s="11"/>
      <c r="C796" s="11"/>
      <c r="D796" s="6"/>
      <c r="E796" s="11"/>
      <c r="F796" s="11"/>
      <c r="G796" s="11"/>
      <c r="H796" s="11"/>
      <c r="I796" s="11"/>
      <c r="J796" s="11"/>
      <c r="K796" s="11"/>
      <c r="L796" s="11"/>
      <c r="M796" s="11"/>
    </row>
    <row r="797" spans="1:13" ht="14.25" customHeight="1" x14ac:dyDescent="0.2">
      <c r="A797" s="11"/>
      <c r="B797" s="11"/>
      <c r="C797" s="11"/>
      <c r="D797" s="6"/>
      <c r="E797" s="11"/>
      <c r="F797" s="11"/>
      <c r="G797" s="11"/>
      <c r="H797" s="11"/>
      <c r="I797" s="11"/>
      <c r="J797" s="11"/>
      <c r="K797" s="11"/>
      <c r="L797" s="11"/>
      <c r="M797" s="11"/>
    </row>
    <row r="798" spans="1:13" ht="14.25" customHeight="1" x14ac:dyDescent="0.2">
      <c r="A798" s="11"/>
      <c r="B798" s="11"/>
      <c r="C798" s="11"/>
      <c r="D798" s="6"/>
      <c r="E798" s="11"/>
      <c r="F798" s="11"/>
      <c r="G798" s="11"/>
      <c r="H798" s="11"/>
      <c r="I798" s="11"/>
      <c r="J798" s="11"/>
      <c r="K798" s="11"/>
      <c r="L798" s="11"/>
      <c r="M798" s="11"/>
    </row>
    <row r="799" spans="1:13" ht="14.25" customHeight="1" x14ac:dyDescent="0.2">
      <c r="A799" s="11"/>
      <c r="B799" s="11"/>
      <c r="C799" s="11"/>
      <c r="D799" s="6"/>
      <c r="E799" s="11"/>
      <c r="F799" s="11"/>
      <c r="G799" s="11"/>
      <c r="H799" s="11"/>
      <c r="I799" s="11"/>
      <c r="J799" s="11"/>
      <c r="K799" s="11"/>
      <c r="L799" s="11"/>
      <c r="M799" s="11"/>
    </row>
    <row r="800" spans="1:13" ht="14.25" customHeight="1" x14ac:dyDescent="0.2">
      <c r="A800" s="11"/>
      <c r="B800" s="11"/>
      <c r="C800" s="11"/>
      <c r="D800" s="6"/>
      <c r="E800" s="11"/>
      <c r="F800" s="11"/>
      <c r="G800" s="11"/>
      <c r="H800" s="11"/>
      <c r="I800" s="11"/>
      <c r="J800" s="11"/>
      <c r="K800" s="11"/>
      <c r="L800" s="11"/>
      <c r="M800" s="11"/>
    </row>
    <row r="801" spans="1:13" ht="14.25" customHeight="1" x14ac:dyDescent="0.2">
      <c r="A801" s="11"/>
      <c r="B801" s="11"/>
      <c r="C801" s="11"/>
      <c r="D801" s="6"/>
      <c r="E801" s="11"/>
      <c r="F801" s="11"/>
      <c r="G801" s="11"/>
      <c r="H801" s="11"/>
      <c r="I801" s="11"/>
      <c r="J801" s="11"/>
      <c r="K801" s="11"/>
      <c r="L801" s="11"/>
      <c r="M801" s="11"/>
    </row>
    <row r="802" spans="1:13" ht="14.25" customHeight="1" x14ac:dyDescent="0.2">
      <c r="A802" s="11"/>
      <c r="B802" s="11"/>
      <c r="C802" s="11"/>
      <c r="D802" s="6"/>
      <c r="E802" s="11"/>
      <c r="F802" s="11"/>
      <c r="G802" s="11"/>
      <c r="H802" s="11"/>
      <c r="I802" s="11"/>
      <c r="J802" s="11"/>
      <c r="K802" s="11"/>
      <c r="L802" s="11"/>
      <c r="M802" s="11"/>
    </row>
    <row r="803" spans="1:13" ht="14.25" customHeight="1" x14ac:dyDescent="0.2">
      <c r="A803" s="11"/>
      <c r="B803" s="11"/>
      <c r="C803" s="11"/>
      <c r="D803" s="6"/>
      <c r="E803" s="11"/>
      <c r="F803" s="11"/>
      <c r="G803" s="11"/>
      <c r="H803" s="11"/>
      <c r="I803" s="11"/>
      <c r="J803" s="11"/>
      <c r="K803" s="11"/>
      <c r="L803" s="11"/>
      <c r="M803" s="11"/>
    </row>
    <row r="804" spans="1:13" ht="14.25" customHeight="1" x14ac:dyDescent="0.2">
      <c r="A804" s="11"/>
      <c r="B804" s="11"/>
      <c r="C804" s="11"/>
      <c r="D804" s="6"/>
      <c r="E804" s="11"/>
      <c r="F804" s="11"/>
      <c r="G804" s="11"/>
      <c r="H804" s="11"/>
      <c r="I804" s="11"/>
      <c r="J804" s="11"/>
      <c r="K804" s="11"/>
      <c r="L804" s="11"/>
      <c r="M804" s="11"/>
    </row>
    <row r="805" spans="1:13" ht="14.25" customHeight="1" x14ac:dyDescent="0.2">
      <c r="A805" s="11"/>
      <c r="B805" s="11"/>
      <c r="C805" s="11"/>
      <c r="D805" s="6"/>
      <c r="E805" s="11"/>
      <c r="F805" s="11"/>
      <c r="G805" s="11"/>
      <c r="H805" s="11"/>
      <c r="I805" s="11"/>
      <c r="J805" s="11"/>
      <c r="K805" s="11"/>
      <c r="L805" s="11"/>
      <c r="M805" s="11"/>
    </row>
    <row r="806" spans="1:13" ht="14.25" customHeight="1" x14ac:dyDescent="0.2">
      <c r="A806" s="11"/>
      <c r="B806" s="11"/>
      <c r="C806" s="11"/>
      <c r="D806" s="6"/>
      <c r="E806" s="11"/>
      <c r="F806" s="11"/>
      <c r="G806" s="11"/>
      <c r="H806" s="11"/>
      <c r="I806" s="11"/>
      <c r="J806" s="11"/>
      <c r="K806" s="11"/>
      <c r="L806" s="11"/>
      <c r="M806" s="11"/>
    </row>
    <row r="807" spans="1:13" ht="14.25" customHeight="1" x14ac:dyDescent="0.2">
      <c r="A807" s="11"/>
      <c r="B807" s="11"/>
      <c r="C807" s="11"/>
      <c r="D807" s="6"/>
      <c r="E807" s="11"/>
      <c r="F807" s="11"/>
      <c r="G807" s="11"/>
      <c r="H807" s="11"/>
      <c r="I807" s="11"/>
      <c r="J807" s="11"/>
      <c r="K807" s="11"/>
      <c r="L807" s="11"/>
      <c r="M807" s="11"/>
    </row>
    <row r="808" spans="1:13" ht="14.25" customHeight="1" x14ac:dyDescent="0.2">
      <c r="A808" s="11"/>
      <c r="B808" s="11"/>
      <c r="C808" s="11"/>
      <c r="D808" s="6"/>
      <c r="E808" s="11"/>
      <c r="F808" s="11"/>
      <c r="G808" s="11"/>
      <c r="H808" s="11"/>
      <c r="I808" s="11"/>
      <c r="J808" s="11"/>
      <c r="K808" s="11"/>
      <c r="L808" s="11"/>
      <c r="M808" s="11"/>
    </row>
    <row r="809" spans="1:13" ht="14.25" customHeight="1" x14ac:dyDescent="0.2">
      <c r="A809" s="11"/>
      <c r="B809" s="11"/>
      <c r="C809" s="11"/>
      <c r="D809" s="6"/>
      <c r="E809" s="11"/>
      <c r="F809" s="11"/>
      <c r="G809" s="11"/>
      <c r="H809" s="11"/>
      <c r="I809" s="11"/>
      <c r="J809" s="11"/>
      <c r="K809" s="11"/>
      <c r="L809" s="11"/>
      <c r="M809" s="11"/>
    </row>
    <row r="810" spans="1:13" ht="14.25" customHeight="1" x14ac:dyDescent="0.2">
      <c r="A810" s="11"/>
      <c r="B810" s="11"/>
      <c r="C810" s="11"/>
      <c r="D810" s="6"/>
      <c r="E810" s="11"/>
      <c r="F810" s="11"/>
      <c r="G810" s="11"/>
      <c r="H810" s="11"/>
      <c r="I810" s="11"/>
      <c r="J810" s="11"/>
      <c r="K810" s="11"/>
      <c r="L810" s="11"/>
      <c r="M810" s="11"/>
    </row>
    <row r="811" spans="1:13" ht="14.25" customHeight="1" x14ac:dyDescent="0.2">
      <c r="A811" s="11"/>
      <c r="B811" s="11"/>
      <c r="C811" s="11"/>
      <c r="D811" s="6"/>
      <c r="E811" s="11"/>
      <c r="F811" s="11"/>
      <c r="G811" s="11"/>
      <c r="H811" s="11"/>
      <c r="I811" s="11"/>
      <c r="J811" s="11"/>
      <c r="K811" s="11"/>
      <c r="L811" s="11"/>
      <c r="M811" s="11"/>
    </row>
    <row r="812" spans="1:13" ht="14.25" customHeight="1" x14ac:dyDescent="0.2">
      <c r="A812" s="11"/>
      <c r="B812" s="11"/>
      <c r="C812" s="11"/>
      <c r="D812" s="6"/>
      <c r="E812" s="11"/>
      <c r="F812" s="11"/>
      <c r="G812" s="11"/>
      <c r="H812" s="11"/>
      <c r="I812" s="11"/>
      <c r="J812" s="11"/>
      <c r="K812" s="11"/>
      <c r="L812" s="11"/>
      <c r="M812" s="11"/>
    </row>
    <row r="813" spans="1:13" ht="14.25" customHeight="1" x14ac:dyDescent="0.2">
      <c r="A813" s="11"/>
      <c r="B813" s="11"/>
      <c r="C813" s="11"/>
      <c r="D813" s="6"/>
      <c r="E813" s="11"/>
      <c r="F813" s="11"/>
      <c r="G813" s="11"/>
      <c r="H813" s="11"/>
      <c r="I813" s="11"/>
      <c r="J813" s="11"/>
      <c r="K813" s="11"/>
      <c r="L813" s="11"/>
      <c r="M813" s="11"/>
    </row>
    <row r="814" spans="1:13" ht="14.25" customHeight="1" x14ac:dyDescent="0.2">
      <c r="A814" s="11"/>
      <c r="B814" s="11"/>
      <c r="C814" s="11"/>
      <c r="D814" s="6"/>
      <c r="E814" s="11"/>
      <c r="F814" s="11"/>
      <c r="G814" s="11"/>
      <c r="H814" s="11"/>
      <c r="I814" s="11"/>
      <c r="J814" s="11"/>
      <c r="K814" s="11"/>
      <c r="L814" s="11"/>
      <c r="M814" s="11"/>
    </row>
    <row r="815" spans="1:13" ht="14.25" customHeight="1" x14ac:dyDescent="0.2">
      <c r="A815" s="11"/>
      <c r="B815" s="11"/>
      <c r="C815" s="11"/>
      <c r="D815" s="6"/>
      <c r="E815" s="11"/>
      <c r="F815" s="11"/>
      <c r="G815" s="11"/>
      <c r="H815" s="11"/>
      <c r="I815" s="11"/>
      <c r="J815" s="11"/>
      <c r="K815" s="11"/>
      <c r="L815" s="11"/>
      <c r="M815" s="11"/>
    </row>
    <row r="816" spans="1:13" ht="14.25" customHeight="1" x14ac:dyDescent="0.2">
      <c r="A816" s="11"/>
      <c r="B816" s="11"/>
      <c r="C816" s="11"/>
      <c r="D816" s="6"/>
      <c r="E816" s="11"/>
      <c r="F816" s="11"/>
      <c r="G816" s="11"/>
      <c r="H816" s="11"/>
      <c r="I816" s="11"/>
      <c r="J816" s="11"/>
      <c r="K816" s="11"/>
      <c r="L816" s="11"/>
      <c r="M816" s="11"/>
    </row>
    <row r="817" spans="1:13" ht="14.25" customHeight="1" x14ac:dyDescent="0.2">
      <c r="A817" s="11"/>
      <c r="B817" s="11"/>
      <c r="C817" s="11"/>
      <c r="D817" s="6"/>
      <c r="E817" s="11"/>
      <c r="F817" s="11"/>
      <c r="G817" s="11"/>
      <c r="H817" s="11"/>
      <c r="I817" s="11"/>
      <c r="J817" s="11"/>
      <c r="K817" s="11"/>
      <c r="L817" s="11"/>
      <c r="M817" s="11"/>
    </row>
    <row r="818" spans="1:13" ht="14.25" customHeight="1" x14ac:dyDescent="0.2">
      <c r="A818" s="11"/>
      <c r="B818" s="11"/>
      <c r="C818" s="11"/>
      <c r="D818" s="6"/>
      <c r="E818" s="11"/>
      <c r="F818" s="11"/>
      <c r="G818" s="11"/>
      <c r="H818" s="11"/>
      <c r="I818" s="11"/>
      <c r="J818" s="11"/>
      <c r="K818" s="11"/>
      <c r="L818" s="11"/>
      <c r="M818" s="11"/>
    </row>
    <row r="819" spans="1:13" ht="14.25" customHeight="1" x14ac:dyDescent="0.2">
      <c r="A819" s="11"/>
      <c r="B819" s="11"/>
      <c r="C819" s="11"/>
      <c r="D819" s="6"/>
      <c r="E819" s="11"/>
      <c r="F819" s="11"/>
      <c r="G819" s="11"/>
      <c r="H819" s="11"/>
      <c r="I819" s="11"/>
      <c r="J819" s="11"/>
      <c r="K819" s="11"/>
      <c r="L819" s="11"/>
      <c r="M819" s="11"/>
    </row>
    <row r="820" spans="1:13" ht="14.25" customHeight="1" x14ac:dyDescent="0.2">
      <c r="A820" s="11"/>
      <c r="B820" s="11"/>
      <c r="C820" s="11"/>
      <c r="D820" s="6"/>
      <c r="E820" s="11"/>
      <c r="F820" s="11"/>
      <c r="G820" s="11"/>
      <c r="H820" s="11"/>
      <c r="I820" s="11"/>
      <c r="J820" s="11"/>
      <c r="K820" s="11"/>
      <c r="L820" s="11"/>
      <c r="M820" s="11"/>
    </row>
    <row r="821" spans="1:13" ht="14.25" customHeight="1" x14ac:dyDescent="0.2">
      <c r="A821" s="11"/>
      <c r="B821" s="11"/>
      <c r="C821" s="11"/>
      <c r="D821" s="6"/>
      <c r="E821" s="11"/>
      <c r="F821" s="11"/>
      <c r="G821" s="11"/>
      <c r="H821" s="11"/>
      <c r="I821" s="11"/>
      <c r="J821" s="11"/>
      <c r="K821" s="11"/>
      <c r="L821" s="11"/>
      <c r="M821" s="11"/>
    </row>
    <row r="822" spans="1:13" ht="14.25" customHeight="1" x14ac:dyDescent="0.2">
      <c r="A822" s="11"/>
      <c r="B822" s="11"/>
      <c r="C822" s="11"/>
      <c r="D822" s="6"/>
      <c r="E822" s="11"/>
      <c r="F822" s="11"/>
      <c r="G822" s="11"/>
      <c r="H822" s="11"/>
      <c r="I822" s="11"/>
      <c r="J822" s="11"/>
      <c r="K822" s="11"/>
      <c r="L822" s="11"/>
      <c r="M822" s="11"/>
    </row>
    <row r="823" spans="1:13" ht="14.25" customHeight="1" x14ac:dyDescent="0.2">
      <c r="A823" s="11"/>
      <c r="B823" s="11"/>
      <c r="C823" s="11"/>
      <c r="D823" s="6"/>
      <c r="E823" s="11"/>
      <c r="F823" s="11"/>
      <c r="G823" s="11"/>
      <c r="H823" s="11"/>
      <c r="I823" s="11"/>
      <c r="J823" s="11"/>
      <c r="K823" s="11"/>
      <c r="L823" s="11"/>
      <c r="M823" s="11"/>
    </row>
    <row r="824" spans="1:13" ht="14.25" customHeight="1" x14ac:dyDescent="0.2">
      <c r="A824" s="11"/>
      <c r="B824" s="11"/>
      <c r="C824" s="11"/>
      <c r="D824" s="6"/>
      <c r="E824" s="11"/>
      <c r="F824" s="11"/>
      <c r="G824" s="11"/>
      <c r="H824" s="11"/>
      <c r="I824" s="11"/>
      <c r="J824" s="11"/>
      <c r="K824" s="11"/>
      <c r="L824" s="11"/>
      <c r="M824" s="11"/>
    </row>
    <row r="825" spans="1:13" ht="14.25" customHeight="1" x14ac:dyDescent="0.2">
      <c r="A825" s="11"/>
      <c r="B825" s="11"/>
      <c r="C825" s="11"/>
      <c r="D825" s="6"/>
      <c r="E825" s="11"/>
      <c r="F825" s="11"/>
      <c r="G825" s="11"/>
      <c r="H825" s="11"/>
      <c r="I825" s="11"/>
      <c r="J825" s="11"/>
      <c r="K825" s="11"/>
      <c r="L825" s="11"/>
      <c r="M825" s="11"/>
    </row>
    <row r="826" spans="1:13" ht="14.25" customHeight="1" x14ac:dyDescent="0.2">
      <c r="A826" s="11"/>
      <c r="B826" s="11"/>
      <c r="C826" s="11"/>
      <c r="D826" s="6"/>
      <c r="E826" s="11"/>
      <c r="F826" s="11"/>
      <c r="G826" s="11"/>
      <c r="H826" s="11"/>
      <c r="I826" s="11"/>
      <c r="J826" s="11"/>
      <c r="K826" s="11"/>
      <c r="L826" s="11"/>
      <c r="M826" s="11"/>
    </row>
    <row r="827" spans="1:13" ht="14.25" customHeight="1" x14ac:dyDescent="0.2">
      <c r="A827" s="11"/>
      <c r="B827" s="11"/>
      <c r="C827" s="11"/>
      <c r="D827" s="6"/>
      <c r="E827" s="11"/>
      <c r="F827" s="11"/>
      <c r="G827" s="11"/>
      <c r="H827" s="11"/>
      <c r="I827" s="11"/>
      <c r="J827" s="11"/>
      <c r="K827" s="11"/>
      <c r="L827" s="11"/>
      <c r="M827" s="11"/>
    </row>
    <row r="828" spans="1:13" ht="14.25" customHeight="1" x14ac:dyDescent="0.2">
      <c r="A828" s="11"/>
      <c r="B828" s="11"/>
      <c r="C828" s="11"/>
      <c r="D828" s="6"/>
      <c r="E828" s="11"/>
      <c r="F828" s="11"/>
      <c r="G828" s="11"/>
      <c r="H828" s="11"/>
      <c r="I828" s="11"/>
      <c r="J828" s="11"/>
      <c r="K828" s="11"/>
      <c r="L828" s="11"/>
      <c r="M828" s="11"/>
    </row>
    <row r="829" spans="1:13" ht="14.25" customHeight="1" x14ac:dyDescent="0.2">
      <c r="A829" s="11"/>
      <c r="B829" s="11"/>
      <c r="C829" s="11"/>
      <c r="D829" s="6"/>
      <c r="E829" s="11"/>
      <c r="F829" s="11"/>
      <c r="G829" s="11"/>
      <c r="H829" s="11"/>
      <c r="I829" s="11"/>
      <c r="J829" s="11"/>
      <c r="K829" s="11"/>
      <c r="L829" s="11"/>
      <c r="M829" s="11"/>
    </row>
    <row r="830" spans="1:13" ht="14.25" customHeight="1" x14ac:dyDescent="0.2">
      <c r="A830" s="11"/>
      <c r="B830" s="11"/>
      <c r="C830" s="11"/>
      <c r="D830" s="6"/>
      <c r="E830" s="11"/>
      <c r="F830" s="11"/>
      <c r="G830" s="11"/>
      <c r="H830" s="11"/>
      <c r="I830" s="11"/>
      <c r="J830" s="11"/>
      <c r="K830" s="11"/>
      <c r="L830" s="11"/>
      <c r="M830" s="11"/>
    </row>
    <row r="831" spans="1:13" ht="14.25" customHeight="1" x14ac:dyDescent="0.2">
      <c r="A831" s="11"/>
      <c r="B831" s="11"/>
      <c r="C831" s="11"/>
      <c r="D831" s="6"/>
      <c r="E831" s="11"/>
      <c r="F831" s="11"/>
      <c r="G831" s="11"/>
      <c r="H831" s="11"/>
      <c r="I831" s="11"/>
      <c r="J831" s="11"/>
      <c r="K831" s="11"/>
      <c r="L831" s="11"/>
      <c r="M831" s="11"/>
    </row>
    <row r="832" spans="1:13" ht="14.25" customHeight="1" x14ac:dyDescent="0.2">
      <c r="A832" s="11"/>
      <c r="B832" s="11"/>
      <c r="C832" s="11"/>
      <c r="D832" s="6"/>
      <c r="E832" s="11"/>
      <c r="F832" s="11"/>
      <c r="G832" s="11"/>
      <c r="H832" s="11"/>
      <c r="I832" s="11"/>
      <c r="J832" s="11"/>
      <c r="K832" s="11"/>
      <c r="L832" s="11"/>
      <c r="M832" s="11"/>
    </row>
    <row r="833" spans="1:13" ht="14.25" customHeight="1" x14ac:dyDescent="0.2">
      <c r="A833" s="11"/>
      <c r="B833" s="11"/>
      <c r="C833" s="11"/>
      <c r="D833" s="6"/>
      <c r="E833" s="11"/>
      <c r="F833" s="11"/>
      <c r="G833" s="11"/>
      <c r="H833" s="11"/>
      <c r="I833" s="11"/>
      <c r="J833" s="11"/>
      <c r="K833" s="11"/>
      <c r="L833" s="11"/>
      <c r="M833" s="11"/>
    </row>
    <row r="834" spans="1:13" ht="14.25" customHeight="1" x14ac:dyDescent="0.2">
      <c r="A834" s="11"/>
      <c r="B834" s="11"/>
      <c r="C834" s="11"/>
      <c r="D834" s="6"/>
      <c r="E834" s="11"/>
      <c r="F834" s="11"/>
      <c r="G834" s="11"/>
      <c r="H834" s="11"/>
      <c r="I834" s="11"/>
      <c r="J834" s="11"/>
      <c r="K834" s="11"/>
      <c r="L834" s="11"/>
      <c r="M834" s="11"/>
    </row>
    <row r="835" spans="1:13" ht="14.25" customHeight="1" x14ac:dyDescent="0.2">
      <c r="A835" s="11"/>
      <c r="B835" s="11"/>
      <c r="C835" s="11"/>
      <c r="D835" s="6"/>
      <c r="E835" s="11"/>
      <c r="F835" s="11"/>
      <c r="G835" s="11"/>
      <c r="H835" s="11"/>
      <c r="I835" s="11"/>
      <c r="J835" s="11"/>
      <c r="K835" s="11"/>
      <c r="L835" s="11"/>
      <c r="M835" s="11"/>
    </row>
    <row r="836" spans="1:13" ht="14.25" customHeight="1" x14ac:dyDescent="0.2">
      <c r="A836" s="11"/>
      <c r="B836" s="11"/>
      <c r="C836" s="11"/>
      <c r="D836" s="6"/>
      <c r="E836" s="11"/>
      <c r="F836" s="11"/>
      <c r="G836" s="11"/>
      <c r="H836" s="11"/>
      <c r="I836" s="11"/>
      <c r="J836" s="11"/>
      <c r="K836" s="11"/>
      <c r="L836" s="11"/>
      <c r="M836" s="11"/>
    </row>
    <row r="837" spans="1:13" ht="14.25" customHeight="1" x14ac:dyDescent="0.2">
      <c r="A837" s="11"/>
      <c r="B837" s="11"/>
      <c r="C837" s="11"/>
      <c r="D837" s="6"/>
      <c r="E837" s="11"/>
      <c r="F837" s="11"/>
      <c r="G837" s="11"/>
      <c r="H837" s="11"/>
      <c r="I837" s="11"/>
      <c r="J837" s="11"/>
      <c r="K837" s="11"/>
      <c r="L837" s="11"/>
      <c r="M837" s="11"/>
    </row>
    <row r="838" spans="1:13" ht="14.25" customHeight="1" x14ac:dyDescent="0.2">
      <c r="A838" s="11"/>
      <c r="B838" s="11"/>
      <c r="C838" s="11"/>
      <c r="D838" s="6"/>
      <c r="E838" s="11"/>
      <c r="F838" s="11"/>
      <c r="G838" s="11"/>
      <c r="H838" s="11"/>
      <c r="I838" s="11"/>
      <c r="J838" s="11"/>
      <c r="K838" s="11"/>
      <c r="L838" s="11"/>
      <c r="M838" s="11"/>
    </row>
    <row r="839" spans="1:13" ht="14.25" customHeight="1" x14ac:dyDescent="0.2">
      <c r="A839" s="11"/>
      <c r="B839" s="11"/>
      <c r="C839" s="11"/>
      <c r="D839" s="6"/>
      <c r="E839" s="11"/>
      <c r="F839" s="11"/>
      <c r="G839" s="11"/>
      <c r="H839" s="11"/>
      <c r="I839" s="11"/>
      <c r="J839" s="11"/>
      <c r="K839" s="11"/>
      <c r="L839" s="11"/>
      <c r="M839" s="11"/>
    </row>
    <row r="840" spans="1:13" ht="14.25" customHeight="1" x14ac:dyDescent="0.2">
      <c r="A840" s="11"/>
      <c r="B840" s="11"/>
      <c r="C840" s="11"/>
      <c r="D840" s="6"/>
      <c r="E840" s="11"/>
      <c r="F840" s="11"/>
      <c r="G840" s="11"/>
      <c r="H840" s="11"/>
      <c r="I840" s="11"/>
      <c r="J840" s="11"/>
      <c r="K840" s="11"/>
      <c r="L840" s="11"/>
      <c r="M840" s="11"/>
    </row>
    <row r="841" spans="1:13" ht="14.25" customHeight="1" x14ac:dyDescent="0.2">
      <c r="A841" s="11"/>
      <c r="B841" s="11"/>
      <c r="C841" s="11"/>
      <c r="D841" s="6"/>
      <c r="E841" s="11"/>
      <c r="F841" s="11"/>
      <c r="G841" s="11"/>
      <c r="H841" s="11"/>
      <c r="I841" s="11"/>
      <c r="J841" s="11"/>
      <c r="K841" s="11"/>
      <c r="L841" s="11"/>
      <c r="M841" s="11"/>
    </row>
    <row r="842" spans="1:13" ht="14.25" customHeight="1" x14ac:dyDescent="0.2">
      <c r="A842" s="11"/>
      <c r="B842" s="11"/>
      <c r="C842" s="11"/>
      <c r="D842" s="6"/>
      <c r="E842" s="11"/>
      <c r="F842" s="11"/>
      <c r="G842" s="11"/>
      <c r="H842" s="11"/>
      <c r="I842" s="11"/>
      <c r="J842" s="11"/>
      <c r="K842" s="11"/>
      <c r="L842" s="11"/>
      <c r="M842" s="11"/>
    </row>
    <row r="843" spans="1:13" ht="14.25" customHeight="1" x14ac:dyDescent="0.2">
      <c r="A843" s="11"/>
      <c r="B843" s="11"/>
      <c r="C843" s="11"/>
      <c r="D843" s="6"/>
      <c r="E843" s="11"/>
      <c r="F843" s="11"/>
      <c r="G843" s="11"/>
      <c r="H843" s="11"/>
      <c r="I843" s="11"/>
      <c r="J843" s="11"/>
      <c r="K843" s="11"/>
      <c r="L843" s="11"/>
      <c r="M843" s="11"/>
    </row>
    <row r="844" spans="1:13" ht="14.25" customHeight="1" x14ac:dyDescent="0.2">
      <c r="A844" s="11"/>
      <c r="B844" s="11"/>
      <c r="C844" s="11"/>
      <c r="D844" s="6"/>
      <c r="E844" s="11"/>
      <c r="F844" s="11"/>
      <c r="G844" s="11"/>
      <c r="H844" s="11"/>
      <c r="I844" s="11"/>
      <c r="J844" s="11"/>
      <c r="K844" s="11"/>
      <c r="L844" s="11"/>
      <c r="M844" s="11"/>
    </row>
    <row r="845" spans="1:13" ht="14.25" customHeight="1" x14ac:dyDescent="0.2">
      <c r="A845" s="11"/>
      <c r="B845" s="11"/>
      <c r="C845" s="11"/>
      <c r="D845" s="6"/>
      <c r="E845" s="11"/>
      <c r="F845" s="11"/>
      <c r="G845" s="11"/>
      <c r="H845" s="11"/>
      <c r="I845" s="11"/>
      <c r="J845" s="11"/>
      <c r="K845" s="11"/>
      <c r="L845" s="11"/>
      <c r="M845" s="11"/>
    </row>
    <row r="846" spans="1:13" ht="14.25" customHeight="1" x14ac:dyDescent="0.2">
      <c r="A846" s="11"/>
      <c r="B846" s="11"/>
      <c r="C846" s="11"/>
      <c r="D846" s="6"/>
      <c r="E846" s="11"/>
      <c r="F846" s="11"/>
      <c r="G846" s="11"/>
      <c r="H846" s="11"/>
      <c r="I846" s="11"/>
      <c r="J846" s="11"/>
      <c r="K846" s="11"/>
      <c r="L846" s="11"/>
      <c r="M846" s="11"/>
    </row>
    <row r="847" spans="1:13" ht="14.25" customHeight="1" x14ac:dyDescent="0.2">
      <c r="A847" s="11"/>
      <c r="B847" s="11"/>
      <c r="C847" s="11"/>
      <c r="D847" s="6"/>
      <c r="E847" s="11"/>
      <c r="F847" s="11"/>
      <c r="G847" s="11"/>
      <c r="H847" s="11"/>
      <c r="I847" s="11"/>
      <c r="J847" s="11"/>
      <c r="K847" s="11"/>
      <c r="L847" s="11"/>
      <c r="M847" s="11"/>
    </row>
    <row r="848" spans="1:13" ht="14.25" customHeight="1" x14ac:dyDescent="0.2">
      <c r="A848" s="11"/>
      <c r="B848" s="11"/>
      <c r="C848" s="11"/>
      <c r="D848" s="6"/>
      <c r="E848" s="11"/>
      <c r="F848" s="11"/>
      <c r="G848" s="11"/>
      <c r="H848" s="11"/>
      <c r="I848" s="11"/>
      <c r="J848" s="11"/>
      <c r="K848" s="11"/>
      <c r="L848" s="11"/>
      <c r="M848" s="11"/>
    </row>
    <row r="849" spans="1:13" ht="14.25" customHeight="1" x14ac:dyDescent="0.2">
      <c r="A849" s="11"/>
      <c r="B849" s="11"/>
      <c r="C849" s="11"/>
      <c r="D849" s="6"/>
      <c r="E849" s="11"/>
      <c r="F849" s="11"/>
      <c r="G849" s="11"/>
      <c r="H849" s="11"/>
      <c r="I849" s="11"/>
      <c r="J849" s="11"/>
      <c r="K849" s="11"/>
      <c r="L849" s="11"/>
      <c r="M849" s="11"/>
    </row>
    <row r="850" spans="1:13" ht="14.25" customHeight="1" x14ac:dyDescent="0.2">
      <c r="A850" s="11"/>
      <c r="B850" s="11"/>
      <c r="C850" s="11"/>
      <c r="D850" s="6"/>
      <c r="E850" s="11"/>
      <c r="F850" s="11"/>
      <c r="G850" s="11"/>
      <c r="H850" s="11"/>
      <c r="I850" s="11"/>
      <c r="J850" s="11"/>
      <c r="K850" s="11"/>
      <c r="L850" s="11"/>
      <c r="M850" s="11"/>
    </row>
    <row r="851" spans="1:13" ht="14.25" customHeight="1" x14ac:dyDescent="0.2">
      <c r="A851" s="11"/>
      <c r="B851" s="11"/>
      <c r="C851" s="11"/>
      <c r="D851" s="6"/>
      <c r="E851" s="11"/>
      <c r="F851" s="11"/>
      <c r="G851" s="11"/>
      <c r="H851" s="11"/>
      <c r="I851" s="11"/>
      <c r="J851" s="11"/>
      <c r="K851" s="11"/>
      <c r="L851" s="11"/>
      <c r="M851" s="11"/>
    </row>
    <row r="852" spans="1:13" ht="14.25" customHeight="1" x14ac:dyDescent="0.2">
      <c r="A852" s="11"/>
      <c r="B852" s="11"/>
      <c r="C852" s="11"/>
      <c r="D852" s="6"/>
      <c r="E852" s="11"/>
      <c r="F852" s="11"/>
      <c r="G852" s="11"/>
      <c r="H852" s="11"/>
      <c r="I852" s="11"/>
      <c r="J852" s="11"/>
      <c r="K852" s="11"/>
      <c r="L852" s="11"/>
      <c r="M852" s="11"/>
    </row>
    <row r="853" spans="1:13" ht="14.25" customHeight="1" x14ac:dyDescent="0.2">
      <c r="A853" s="11"/>
      <c r="B853" s="11"/>
      <c r="C853" s="11"/>
      <c r="D853" s="6"/>
      <c r="E853" s="11"/>
      <c r="F853" s="11"/>
      <c r="G853" s="11"/>
      <c r="H853" s="11"/>
      <c r="I853" s="11"/>
      <c r="J853" s="11"/>
      <c r="K853" s="11"/>
      <c r="L853" s="11"/>
      <c r="M853" s="11"/>
    </row>
    <row r="854" spans="1:13" ht="14.25" customHeight="1" x14ac:dyDescent="0.2">
      <c r="A854" s="11"/>
      <c r="B854" s="11"/>
      <c r="C854" s="11"/>
      <c r="D854" s="6"/>
      <c r="E854" s="11"/>
      <c r="F854" s="11"/>
      <c r="G854" s="11"/>
      <c r="H854" s="11"/>
      <c r="I854" s="11"/>
      <c r="J854" s="11"/>
      <c r="K854" s="11"/>
      <c r="L854" s="11"/>
      <c r="M854" s="11"/>
    </row>
    <row r="855" spans="1:13" ht="14.25" customHeight="1" x14ac:dyDescent="0.2">
      <c r="A855" s="11"/>
      <c r="B855" s="11"/>
      <c r="C855" s="11"/>
      <c r="D855" s="6"/>
      <c r="E855" s="11"/>
      <c r="F855" s="11"/>
      <c r="G855" s="11"/>
      <c r="H855" s="11"/>
      <c r="I855" s="11"/>
      <c r="J855" s="11"/>
      <c r="K855" s="11"/>
      <c r="L855" s="11"/>
      <c r="M855" s="11"/>
    </row>
    <row r="856" spans="1:13" ht="14.25" customHeight="1" x14ac:dyDescent="0.2">
      <c r="A856" s="11"/>
      <c r="B856" s="11"/>
      <c r="C856" s="11"/>
      <c r="D856" s="6"/>
      <c r="E856" s="11"/>
      <c r="F856" s="11"/>
      <c r="G856" s="11"/>
      <c r="H856" s="11"/>
      <c r="I856" s="11"/>
      <c r="J856" s="11"/>
      <c r="K856" s="11"/>
      <c r="L856" s="11"/>
      <c r="M856" s="11"/>
    </row>
    <row r="857" spans="1:13" ht="14.25" customHeight="1" x14ac:dyDescent="0.2">
      <c r="A857" s="11"/>
      <c r="B857" s="11"/>
      <c r="C857" s="11"/>
      <c r="D857" s="6"/>
      <c r="E857" s="11"/>
      <c r="F857" s="11"/>
      <c r="G857" s="11"/>
      <c r="H857" s="11"/>
      <c r="I857" s="11"/>
      <c r="J857" s="11"/>
      <c r="K857" s="11"/>
      <c r="L857" s="11"/>
      <c r="M857" s="11"/>
    </row>
    <row r="858" spans="1:13" ht="14.25" customHeight="1" x14ac:dyDescent="0.2">
      <c r="A858" s="11"/>
      <c r="B858" s="11"/>
      <c r="C858" s="11"/>
      <c r="D858" s="6"/>
      <c r="E858" s="11"/>
      <c r="F858" s="11"/>
      <c r="G858" s="11"/>
      <c r="H858" s="11"/>
      <c r="I858" s="11"/>
      <c r="J858" s="11"/>
      <c r="K858" s="11"/>
      <c r="L858" s="11"/>
      <c r="M858" s="11"/>
    </row>
    <row r="859" spans="1:13" ht="14.25" customHeight="1" x14ac:dyDescent="0.2">
      <c r="A859" s="11"/>
      <c r="B859" s="11"/>
      <c r="C859" s="11"/>
      <c r="D859" s="6"/>
      <c r="E859" s="11"/>
      <c r="F859" s="11"/>
      <c r="G859" s="11"/>
      <c r="H859" s="11"/>
      <c r="I859" s="11"/>
      <c r="J859" s="11"/>
      <c r="K859" s="11"/>
      <c r="L859" s="11"/>
      <c r="M859" s="11"/>
    </row>
    <row r="860" spans="1:13" ht="14.25" customHeight="1" x14ac:dyDescent="0.2">
      <c r="A860" s="11"/>
      <c r="B860" s="11"/>
      <c r="C860" s="11"/>
      <c r="D860" s="6"/>
      <c r="E860" s="11"/>
      <c r="F860" s="11"/>
      <c r="G860" s="11"/>
      <c r="H860" s="11"/>
      <c r="I860" s="11"/>
      <c r="J860" s="11"/>
      <c r="K860" s="11"/>
      <c r="L860" s="11"/>
      <c r="M860" s="11"/>
    </row>
    <row r="861" spans="1:13" ht="14.25" customHeight="1" x14ac:dyDescent="0.2">
      <c r="A861" s="11"/>
      <c r="B861" s="11"/>
      <c r="C861" s="11"/>
      <c r="D861" s="6"/>
      <c r="E861" s="11"/>
      <c r="F861" s="11"/>
      <c r="G861" s="11"/>
      <c r="H861" s="11"/>
      <c r="I861" s="11"/>
      <c r="J861" s="11"/>
      <c r="K861" s="11"/>
      <c r="L861" s="11"/>
      <c r="M861" s="11"/>
    </row>
    <row r="862" spans="1:13" ht="14.25" customHeight="1" x14ac:dyDescent="0.2">
      <c r="A862" s="11"/>
      <c r="B862" s="11"/>
      <c r="C862" s="11"/>
      <c r="D862" s="6"/>
      <c r="E862" s="11"/>
      <c r="F862" s="11"/>
      <c r="G862" s="11"/>
      <c r="H862" s="11"/>
      <c r="I862" s="11"/>
      <c r="J862" s="11"/>
      <c r="K862" s="11"/>
      <c r="L862" s="11"/>
      <c r="M862" s="11"/>
    </row>
    <row r="863" spans="1:13" ht="14.25" customHeight="1" x14ac:dyDescent="0.2">
      <c r="A863" s="11"/>
      <c r="B863" s="11"/>
      <c r="C863" s="11"/>
      <c r="D863" s="6"/>
      <c r="E863" s="11"/>
      <c r="F863" s="11"/>
      <c r="G863" s="11"/>
      <c r="H863" s="11"/>
      <c r="I863" s="11"/>
      <c r="J863" s="11"/>
      <c r="K863" s="11"/>
      <c r="L863" s="11"/>
      <c r="M863" s="11"/>
    </row>
    <row r="864" spans="1:13" ht="14.25" customHeight="1" x14ac:dyDescent="0.2">
      <c r="A864" s="11"/>
      <c r="B864" s="11"/>
      <c r="C864" s="11"/>
      <c r="D864" s="6"/>
      <c r="E864" s="11"/>
      <c r="F864" s="11"/>
      <c r="G864" s="11"/>
      <c r="H864" s="11"/>
      <c r="I864" s="11"/>
      <c r="J864" s="11"/>
      <c r="K864" s="11"/>
      <c r="L864" s="11"/>
      <c r="M864" s="11"/>
    </row>
    <row r="865" spans="1:13" ht="14.25" customHeight="1" x14ac:dyDescent="0.2">
      <c r="A865" s="11"/>
      <c r="B865" s="11"/>
      <c r="C865" s="11"/>
      <c r="D865" s="6"/>
      <c r="E865" s="11"/>
      <c r="F865" s="11"/>
      <c r="G865" s="11"/>
      <c r="H865" s="11"/>
      <c r="I865" s="11"/>
      <c r="J865" s="11"/>
      <c r="K865" s="11"/>
      <c r="L865" s="11"/>
      <c r="M865" s="11"/>
    </row>
    <row r="866" spans="1:13" ht="14.25" customHeight="1" x14ac:dyDescent="0.2">
      <c r="A866" s="11"/>
      <c r="B866" s="11"/>
      <c r="C866" s="11"/>
      <c r="D866" s="6"/>
      <c r="E866" s="11"/>
      <c r="F866" s="11"/>
      <c r="G866" s="11"/>
      <c r="H866" s="11"/>
      <c r="I866" s="11"/>
      <c r="J866" s="11"/>
      <c r="K866" s="11"/>
      <c r="L866" s="11"/>
      <c r="M866" s="11"/>
    </row>
    <row r="867" spans="1:13" ht="14.25" customHeight="1" x14ac:dyDescent="0.2">
      <c r="A867" s="11"/>
      <c r="B867" s="11"/>
      <c r="C867" s="11"/>
      <c r="D867" s="6"/>
      <c r="E867" s="11"/>
      <c r="F867" s="11"/>
      <c r="G867" s="11"/>
      <c r="H867" s="11"/>
      <c r="I867" s="11"/>
      <c r="J867" s="11"/>
      <c r="K867" s="11"/>
      <c r="L867" s="11"/>
      <c r="M867" s="11"/>
    </row>
    <row r="868" spans="1:13" ht="14.25" customHeight="1" x14ac:dyDescent="0.2">
      <c r="A868" s="11"/>
      <c r="B868" s="11"/>
      <c r="C868" s="11"/>
      <c r="D868" s="6"/>
      <c r="E868" s="11"/>
      <c r="F868" s="11"/>
      <c r="G868" s="11"/>
      <c r="H868" s="11"/>
      <c r="I868" s="11"/>
      <c r="J868" s="11"/>
      <c r="K868" s="11"/>
      <c r="L868" s="11"/>
      <c r="M868" s="11"/>
    </row>
    <row r="869" spans="1:13" ht="14.25" customHeight="1" x14ac:dyDescent="0.2">
      <c r="A869" s="11"/>
      <c r="B869" s="11"/>
      <c r="C869" s="11"/>
      <c r="D869" s="6"/>
      <c r="E869" s="11"/>
      <c r="F869" s="11"/>
      <c r="G869" s="11"/>
      <c r="H869" s="11"/>
      <c r="I869" s="11"/>
      <c r="J869" s="11"/>
      <c r="K869" s="11"/>
      <c r="L869" s="11"/>
      <c r="M869" s="11"/>
    </row>
    <row r="870" spans="1:13" ht="14.25" customHeight="1" x14ac:dyDescent="0.2">
      <c r="A870" s="11"/>
      <c r="B870" s="11"/>
      <c r="C870" s="11"/>
      <c r="D870" s="6"/>
      <c r="E870" s="11"/>
      <c r="F870" s="11"/>
      <c r="G870" s="11"/>
      <c r="H870" s="11"/>
      <c r="I870" s="11"/>
      <c r="J870" s="11"/>
      <c r="K870" s="11"/>
      <c r="L870" s="11"/>
      <c r="M870" s="11"/>
    </row>
    <row r="871" spans="1:13" ht="14.25" customHeight="1" x14ac:dyDescent="0.2">
      <c r="A871" s="11"/>
      <c r="B871" s="11"/>
      <c r="C871" s="11"/>
      <c r="D871" s="6"/>
      <c r="E871" s="11"/>
      <c r="F871" s="11"/>
      <c r="G871" s="11"/>
      <c r="H871" s="11"/>
      <c r="I871" s="11"/>
      <c r="J871" s="11"/>
      <c r="K871" s="11"/>
      <c r="L871" s="11"/>
      <c r="M871" s="11"/>
    </row>
    <row r="872" spans="1:13" ht="14.25" customHeight="1" x14ac:dyDescent="0.2">
      <c r="A872" s="11"/>
      <c r="B872" s="11"/>
      <c r="C872" s="11"/>
      <c r="D872" s="6"/>
      <c r="E872" s="11"/>
      <c r="F872" s="11"/>
      <c r="G872" s="11"/>
      <c r="H872" s="11"/>
      <c r="I872" s="11"/>
      <c r="J872" s="11"/>
      <c r="K872" s="11"/>
      <c r="L872" s="11"/>
      <c r="M872" s="11"/>
    </row>
    <row r="873" spans="1:13" ht="14.25" customHeight="1" x14ac:dyDescent="0.2">
      <c r="A873" s="11"/>
      <c r="B873" s="11"/>
      <c r="C873" s="11"/>
      <c r="D873" s="6"/>
      <c r="E873" s="11"/>
      <c r="F873" s="11"/>
      <c r="G873" s="11"/>
      <c r="H873" s="11"/>
      <c r="I873" s="11"/>
      <c r="J873" s="11"/>
      <c r="K873" s="11"/>
      <c r="L873" s="11"/>
      <c r="M873" s="11"/>
    </row>
    <row r="874" spans="1:13" ht="14.25" customHeight="1" x14ac:dyDescent="0.2">
      <c r="A874" s="11"/>
      <c r="B874" s="11"/>
      <c r="C874" s="11"/>
      <c r="D874" s="6"/>
      <c r="E874" s="11"/>
      <c r="F874" s="11"/>
      <c r="G874" s="11"/>
      <c r="H874" s="11"/>
      <c r="I874" s="11"/>
      <c r="J874" s="11"/>
      <c r="K874" s="11"/>
      <c r="L874" s="11"/>
      <c r="M874" s="11"/>
    </row>
    <row r="875" spans="1:13" ht="14.25" customHeight="1" x14ac:dyDescent="0.2">
      <c r="A875" s="11"/>
      <c r="B875" s="11"/>
      <c r="C875" s="11"/>
      <c r="D875" s="6"/>
      <c r="E875" s="11"/>
      <c r="F875" s="11"/>
      <c r="G875" s="11"/>
      <c r="H875" s="11"/>
      <c r="I875" s="11"/>
      <c r="J875" s="11"/>
      <c r="K875" s="11"/>
      <c r="L875" s="11"/>
      <c r="M875" s="11"/>
    </row>
    <row r="876" spans="1:13" ht="14.25" customHeight="1" x14ac:dyDescent="0.2">
      <c r="A876" s="11"/>
      <c r="B876" s="11"/>
      <c r="C876" s="11"/>
      <c r="D876" s="6"/>
      <c r="E876" s="11"/>
      <c r="F876" s="11"/>
      <c r="G876" s="11"/>
      <c r="H876" s="11"/>
      <c r="I876" s="11"/>
      <c r="J876" s="11"/>
      <c r="K876" s="11"/>
      <c r="L876" s="11"/>
      <c r="M876" s="11"/>
    </row>
    <row r="877" spans="1:13" ht="14.25" customHeight="1" x14ac:dyDescent="0.2">
      <c r="A877" s="11"/>
      <c r="B877" s="11"/>
      <c r="C877" s="11"/>
      <c r="D877" s="6"/>
      <c r="E877" s="11"/>
      <c r="F877" s="11"/>
      <c r="G877" s="11"/>
      <c r="H877" s="11"/>
      <c r="I877" s="11"/>
      <c r="J877" s="11"/>
      <c r="K877" s="11"/>
      <c r="L877" s="11"/>
      <c r="M877" s="11"/>
    </row>
    <row r="878" spans="1:13" ht="14.25" customHeight="1" x14ac:dyDescent="0.2">
      <c r="A878" s="11"/>
      <c r="B878" s="11"/>
      <c r="C878" s="11"/>
      <c r="D878" s="6"/>
      <c r="E878" s="11"/>
      <c r="F878" s="11"/>
      <c r="G878" s="11"/>
      <c r="H878" s="11"/>
      <c r="I878" s="11"/>
      <c r="J878" s="11"/>
      <c r="K878" s="11"/>
      <c r="L878" s="11"/>
      <c r="M878" s="11"/>
    </row>
    <row r="879" spans="1:13" ht="14.25" customHeight="1" x14ac:dyDescent="0.2">
      <c r="A879" s="11"/>
      <c r="B879" s="11"/>
      <c r="C879" s="11"/>
      <c r="D879" s="6"/>
      <c r="E879" s="11"/>
      <c r="F879" s="11"/>
      <c r="G879" s="11"/>
      <c r="H879" s="11"/>
      <c r="I879" s="11"/>
      <c r="J879" s="11"/>
      <c r="K879" s="11"/>
      <c r="L879" s="11"/>
      <c r="M879" s="11"/>
    </row>
    <row r="880" spans="1:13" ht="14.25" customHeight="1" x14ac:dyDescent="0.2">
      <c r="A880" s="11"/>
      <c r="B880" s="11"/>
      <c r="C880" s="11"/>
      <c r="D880" s="6"/>
      <c r="E880" s="11"/>
      <c r="F880" s="11"/>
      <c r="G880" s="11"/>
      <c r="H880" s="11"/>
      <c r="I880" s="11"/>
      <c r="J880" s="11"/>
      <c r="K880" s="11"/>
      <c r="L880" s="11"/>
      <c r="M880" s="11"/>
    </row>
    <row r="881" spans="1:13" ht="14.25" customHeight="1" x14ac:dyDescent="0.2">
      <c r="A881" s="11"/>
      <c r="B881" s="11"/>
      <c r="C881" s="11"/>
      <c r="D881" s="6"/>
      <c r="E881" s="11"/>
      <c r="F881" s="11"/>
      <c r="G881" s="11"/>
      <c r="H881" s="11"/>
      <c r="I881" s="11"/>
      <c r="J881" s="11"/>
      <c r="K881" s="11"/>
      <c r="L881" s="11"/>
      <c r="M881" s="11"/>
    </row>
    <row r="882" spans="1:13" ht="14.25" customHeight="1" x14ac:dyDescent="0.2">
      <c r="A882" s="11"/>
      <c r="B882" s="11"/>
      <c r="C882" s="11"/>
      <c r="D882" s="6"/>
      <c r="E882" s="11"/>
      <c r="F882" s="11"/>
      <c r="G882" s="11"/>
      <c r="H882" s="11"/>
      <c r="I882" s="11"/>
      <c r="J882" s="11"/>
      <c r="K882" s="11"/>
      <c r="L882" s="11"/>
      <c r="M882" s="11"/>
    </row>
    <row r="883" spans="1:13" ht="14.25" customHeight="1" x14ac:dyDescent="0.2">
      <c r="A883" s="11"/>
      <c r="B883" s="11"/>
      <c r="C883" s="11"/>
      <c r="D883" s="6"/>
      <c r="E883" s="11"/>
      <c r="F883" s="11"/>
      <c r="G883" s="11"/>
      <c r="H883" s="11"/>
      <c r="I883" s="11"/>
      <c r="J883" s="11"/>
      <c r="K883" s="11"/>
      <c r="L883" s="11"/>
      <c r="M883" s="11"/>
    </row>
    <row r="884" spans="1:13" ht="14.25" customHeight="1" x14ac:dyDescent="0.2">
      <c r="A884" s="11"/>
      <c r="B884" s="11"/>
      <c r="C884" s="11"/>
      <c r="D884" s="6"/>
      <c r="E884" s="11"/>
      <c r="F884" s="11"/>
      <c r="G884" s="11"/>
      <c r="H884" s="11"/>
      <c r="I884" s="11"/>
      <c r="J884" s="11"/>
      <c r="K884" s="11"/>
      <c r="L884" s="11"/>
      <c r="M884" s="11"/>
    </row>
    <row r="885" spans="1:13" ht="14.25" customHeight="1" x14ac:dyDescent="0.2">
      <c r="A885" s="11"/>
      <c r="B885" s="11"/>
      <c r="C885" s="11"/>
      <c r="D885" s="6"/>
      <c r="E885" s="11"/>
      <c r="F885" s="11"/>
      <c r="G885" s="11"/>
      <c r="H885" s="11"/>
      <c r="I885" s="11"/>
      <c r="J885" s="11"/>
      <c r="K885" s="11"/>
      <c r="L885" s="11"/>
      <c r="M885" s="11"/>
    </row>
    <row r="886" spans="1:13" ht="14.25" customHeight="1" x14ac:dyDescent="0.2">
      <c r="A886" s="11"/>
      <c r="B886" s="11"/>
      <c r="C886" s="11"/>
      <c r="D886" s="6"/>
      <c r="E886" s="11"/>
      <c r="F886" s="11"/>
      <c r="G886" s="11"/>
      <c r="H886" s="11"/>
      <c r="I886" s="11"/>
      <c r="J886" s="11"/>
      <c r="K886" s="11"/>
      <c r="L886" s="11"/>
      <c r="M886" s="11"/>
    </row>
    <row r="887" spans="1:13" ht="14.25" customHeight="1" x14ac:dyDescent="0.2">
      <c r="A887" s="11"/>
      <c r="B887" s="11"/>
      <c r="C887" s="11"/>
      <c r="D887" s="6"/>
      <c r="E887" s="11"/>
      <c r="F887" s="11"/>
      <c r="G887" s="11"/>
      <c r="H887" s="11"/>
      <c r="I887" s="11"/>
      <c r="J887" s="11"/>
      <c r="K887" s="11"/>
      <c r="L887" s="11"/>
      <c r="M887" s="11"/>
    </row>
    <row r="888" spans="1:13" ht="14.25" customHeight="1" x14ac:dyDescent="0.2">
      <c r="A888" s="11"/>
      <c r="B888" s="11"/>
      <c r="C888" s="11"/>
      <c r="D888" s="6"/>
      <c r="E888" s="11"/>
      <c r="F888" s="11"/>
      <c r="G888" s="11"/>
      <c r="H888" s="11"/>
      <c r="I888" s="11"/>
      <c r="J888" s="11"/>
      <c r="K888" s="11"/>
      <c r="L888" s="11"/>
      <c r="M888" s="11"/>
    </row>
    <row r="889" spans="1:13" ht="14.25" customHeight="1" x14ac:dyDescent="0.2">
      <c r="A889" s="11"/>
      <c r="B889" s="11"/>
      <c r="C889" s="11"/>
      <c r="D889" s="6"/>
      <c r="E889" s="11"/>
      <c r="F889" s="11"/>
      <c r="G889" s="11"/>
      <c r="H889" s="11"/>
      <c r="I889" s="11"/>
      <c r="J889" s="11"/>
      <c r="K889" s="11"/>
      <c r="L889" s="11"/>
      <c r="M889" s="11"/>
    </row>
    <row r="890" spans="1:13" ht="14.25" customHeight="1" x14ac:dyDescent="0.2">
      <c r="A890" s="11"/>
      <c r="B890" s="11"/>
      <c r="C890" s="11"/>
      <c r="D890" s="6"/>
      <c r="E890" s="11"/>
      <c r="F890" s="11"/>
      <c r="G890" s="11"/>
      <c r="H890" s="11"/>
      <c r="I890" s="11"/>
      <c r="J890" s="11"/>
      <c r="K890" s="11"/>
      <c r="L890" s="11"/>
      <c r="M890" s="11"/>
    </row>
    <row r="891" spans="1:13" ht="14.25" customHeight="1" x14ac:dyDescent="0.2">
      <c r="A891" s="11"/>
      <c r="B891" s="11"/>
      <c r="C891" s="11"/>
      <c r="D891" s="6"/>
      <c r="E891" s="11"/>
      <c r="F891" s="11"/>
      <c r="G891" s="11"/>
      <c r="H891" s="11"/>
      <c r="I891" s="11"/>
      <c r="J891" s="11"/>
      <c r="K891" s="11"/>
      <c r="L891" s="11"/>
      <c r="M891" s="11"/>
    </row>
    <row r="892" spans="1:13" ht="14.25" customHeight="1" x14ac:dyDescent="0.2">
      <c r="A892" s="11"/>
      <c r="B892" s="11"/>
      <c r="C892" s="11"/>
      <c r="D892" s="6"/>
      <c r="E892" s="11"/>
      <c r="F892" s="11"/>
      <c r="G892" s="11"/>
      <c r="H892" s="11"/>
      <c r="I892" s="11"/>
      <c r="J892" s="11"/>
      <c r="K892" s="11"/>
      <c r="L892" s="11"/>
      <c r="M892" s="11"/>
    </row>
    <row r="893" spans="1:13" ht="14.25" customHeight="1" x14ac:dyDescent="0.2">
      <c r="A893" s="11"/>
      <c r="B893" s="11"/>
      <c r="C893" s="11"/>
      <c r="D893" s="6"/>
      <c r="E893" s="11"/>
      <c r="F893" s="11"/>
      <c r="G893" s="11"/>
      <c r="H893" s="11"/>
      <c r="I893" s="11"/>
      <c r="J893" s="11"/>
      <c r="K893" s="11"/>
      <c r="L893" s="11"/>
      <c r="M893" s="11"/>
    </row>
    <row r="894" spans="1:13" ht="14.25" customHeight="1" x14ac:dyDescent="0.2">
      <c r="A894" s="11"/>
      <c r="B894" s="11"/>
      <c r="C894" s="11"/>
      <c r="D894" s="6"/>
      <c r="E894" s="11"/>
      <c r="F894" s="11"/>
      <c r="G894" s="11"/>
      <c r="H894" s="11"/>
      <c r="I894" s="11"/>
      <c r="J894" s="11"/>
      <c r="K894" s="11"/>
      <c r="L894" s="11"/>
      <c r="M894" s="11"/>
    </row>
    <row r="895" spans="1:13" ht="14.25" customHeight="1" x14ac:dyDescent="0.2">
      <c r="A895" s="11"/>
      <c r="B895" s="11"/>
      <c r="C895" s="11"/>
      <c r="D895" s="6"/>
      <c r="E895" s="11"/>
      <c r="F895" s="11"/>
      <c r="G895" s="11"/>
      <c r="H895" s="11"/>
      <c r="I895" s="11"/>
      <c r="J895" s="11"/>
      <c r="K895" s="11"/>
      <c r="L895" s="11"/>
      <c r="M895" s="11"/>
    </row>
    <row r="896" spans="1:13" ht="14.25" customHeight="1" x14ac:dyDescent="0.2">
      <c r="A896" s="11"/>
      <c r="B896" s="11"/>
      <c r="C896" s="11"/>
      <c r="D896" s="6"/>
      <c r="E896" s="11"/>
      <c r="F896" s="11"/>
      <c r="G896" s="11"/>
      <c r="H896" s="11"/>
      <c r="I896" s="11"/>
      <c r="J896" s="11"/>
      <c r="K896" s="11"/>
      <c r="L896" s="11"/>
      <c r="M896" s="11"/>
    </row>
    <row r="897" spans="1:13" ht="14.25" customHeight="1" x14ac:dyDescent="0.2">
      <c r="A897" s="11"/>
      <c r="B897" s="11"/>
      <c r="C897" s="11"/>
      <c r="D897" s="6"/>
      <c r="E897" s="11"/>
      <c r="F897" s="11"/>
      <c r="G897" s="11"/>
      <c r="H897" s="11"/>
      <c r="I897" s="11"/>
      <c r="J897" s="11"/>
      <c r="K897" s="11"/>
      <c r="L897" s="11"/>
      <c r="M897" s="11"/>
    </row>
    <row r="898" spans="1:13" ht="14.25" customHeight="1" x14ac:dyDescent="0.2">
      <c r="A898" s="11"/>
      <c r="B898" s="11"/>
      <c r="C898" s="11"/>
      <c r="D898" s="6"/>
      <c r="E898" s="11"/>
      <c r="F898" s="11"/>
      <c r="G898" s="11"/>
      <c r="H898" s="11"/>
      <c r="I898" s="11"/>
      <c r="J898" s="11"/>
      <c r="K898" s="11"/>
      <c r="L898" s="11"/>
      <c r="M898" s="11"/>
    </row>
    <row r="899" spans="1:13" ht="14.25" customHeight="1" x14ac:dyDescent="0.2">
      <c r="A899" s="11"/>
      <c r="B899" s="11"/>
      <c r="C899" s="11"/>
      <c r="D899" s="6"/>
      <c r="E899" s="11"/>
      <c r="F899" s="11"/>
      <c r="G899" s="11"/>
      <c r="H899" s="11"/>
      <c r="I899" s="11"/>
      <c r="J899" s="11"/>
      <c r="K899" s="11"/>
      <c r="L899" s="11"/>
      <c r="M899" s="11"/>
    </row>
    <row r="900" spans="1:13" ht="14.25" customHeight="1" x14ac:dyDescent="0.2">
      <c r="A900" s="11"/>
      <c r="B900" s="11"/>
      <c r="C900" s="11"/>
      <c r="D900" s="6"/>
      <c r="E900" s="11"/>
      <c r="F900" s="11"/>
      <c r="G900" s="11"/>
      <c r="H900" s="11"/>
      <c r="I900" s="11"/>
      <c r="J900" s="11"/>
      <c r="K900" s="11"/>
      <c r="L900" s="11"/>
      <c r="M900" s="11"/>
    </row>
    <row r="901" spans="1:13" ht="14.25" customHeight="1" x14ac:dyDescent="0.2">
      <c r="A901" s="11"/>
      <c r="B901" s="11"/>
      <c r="C901" s="11"/>
      <c r="D901" s="6"/>
      <c r="E901" s="11"/>
      <c r="F901" s="11"/>
      <c r="G901" s="11"/>
      <c r="H901" s="11"/>
      <c r="I901" s="11"/>
      <c r="J901" s="11"/>
      <c r="K901" s="11"/>
      <c r="L901" s="11"/>
      <c r="M901" s="11"/>
    </row>
    <row r="902" spans="1:13" ht="14.25" customHeight="1" x14ac:dyDescent="0.2">
      <c r="A902" s="11"/>
      <c r="B902" s="11"/>
      <c r="C902" s="11"/>
      <c r="D902" s="6"/>
      <c r="E902" s="11"/>
      <c r="F902" s="11"/>
      <c r="G902" s="11"/>
      <c r="H902" s="11"/>
      <c r="I902" s="11"/>
      <c r="J902" s="11"/>
      <c r="K902" s="11"/>
      <c r="L902" s="11"/>
      <c r="M902" s="11"/>
    </row>
    <row r="903" spans="1:13" ht="14.25" customHeight="1" x14ac:dyDescent="0.2">
      <c r="A903" s="11"/>
      <c r="B903" s="11"/>
      <c r="C903" s="11"/>
      <c r="D903" s="6"/>
      <c r="E903" s="11"/>
      <c r="F903" s="11"/>
      <c r="G903" s="11"/>
      <c r="H903" s="11"/>
      <c r="I903" s="11"/>
      <c r="J903" s="11"/>
      <c r="K903" s="11"/>
      <c r="L903" s="11"/>
      <c r="M903" s="11"/>
    </row>
    <row r="904" spans="1:13" ht="14.25" customHeight="1" x14ac:dyDescent="0.2">
      <c r="A904" s="11"/>
      <c r="B904" s="11"/>
      <c r="C904" s="11"/>
      <c r="D904" s="6"/>
      <c r="E904" s="11"/>
      <c r="F904" s="11"/>
      <c r="G904" s="11"/>
      <c r="H904" s="11"/>
      <c r="I904" s="11"/>
      <c r="J904" s="11"/>
      <c r="K904" s="11"/>
      <c r="L904" s="11"/>
      <c r="M904" s="11"/>
    </row>
    <row r="905" spans="1:13" ht="14.25" customHeight="1" x14ac:dyDescent="0.2">
      <c r="A905" s="11"/>
      <c r="B905" s="11"/>
      <c r="C905" s="11"/>
      <c r="D905" s="6"/>
      <c r="E905" s="11"/>
      <c r="F905" s="11"/>
      <c r="G905" s="11"/>
      <c r="H905" s="11"/>
      <c r="I905" s="11"/>
      <c r="J905" s="11"/>
      <c r="K905" s="11"/>
      <c r="L905" s="11"/>
      <c r="M905" s="11"/>
    </row>
    <row r="906" spans="1:13" ht="14.25" customHeight="1" x14ac:dyDescent="0.2">
      <c r="A906" s="11"/>
      <c r="B906" s="11"/>
      <c r="C906" s="11"/>
      <c r="D906" s="6"/>
      <c r="E906" s="11"/>
      <c r="F906" s="11"/>
      <c r="G906" s="11"/>
      <c r="H906" s="11"/>
      <c r="I906" s="11"/>
      <c r="J906" s="11"/>
      <c r="K906" s="11"/>
      <c r="L906" s="11"/>
      <c r="M906" s="11"/>
    </row>
    <row r="907" spans="1:13" ht="14.25" customHeight="1" x14ac:dyDescent="0.2">
      <c r="A907" s="11"/>
      <c r="B907" s="11"/>
      <c r="C907" s="11"/>
      <c r="D907" s="6"/>
      <c r="E907" s="11"/>
      <c r="F907" s="11"/>
      <c r="G907" s="11"/>
      <c r="H907" s="11"/>
      <c r="I907" s="11"/>
      <c r="J907" s="11"/>
      <c r="K907" s="11"/>
      <c r="L907" s="11"/>
      <c r="M907" s="11"/>
    </row>
    <row r="908" spans="1:13" ht="14.25" customHeight="1" x14ac:dyDescent="0.2">
      <c r="A908" s="11"/>
      <c r="B908" s="11"/>
      <c r="C908" s="11"/>
      <c r="D908" s="6"/>
      <c r="E908" s="11"/>
      <c r="F908" s="11"/>
      <c r="G908" s="11"/>
      <c r="H908" s="11"/>
      <c r="I908" s="11"/>
      <c r="J908" s="11"/>
      <c r="K908" s="11"/>
      <c r="L908" s="11"/>
      <c r="M908" s="11"/>
    </row>
    <row r="909" spans="1:13" ht="14.25" customHeight="1" x14ac:dyDescent="0.2">
      <c r="A909" s="11"/>
      <c r="B909" s="11"/>
      <c r="C909" s="11"/>
      <c r="D909" s="6"/>
      <c r="E909" s="11"/>
      <c r="F909" s="11"/>
      <c r="G909" s="11"/>
      <c r="H909" s="11"/>
      <c r="I909" s="11"/>
      <c r="J909" s="11"/>
      <c r="K909" s="11"/>
      <c r="L909" s="11"/>
      <c r="M909" s="11"/>
    </row>
    <row r="910" spans="1:13" ht="14.25" customHeight="1" x14ac:dyDescent="0.2">
      <c r="A910" s="11"/>
      <c r="B910" s="11"/>
      <c r="C910" s="11"/>
      <c r="D910" s="6"/>
      <c r="E910" s="11"/>
      <c r="F910" s="11"/>
      <c r="G910" s="11"/>
      <c r="H910" s="11"/>
      <c r="I910" s="11"/>
      <c r="J910" s="11"/>
      <c r="K910" s="11"/>
      <c r="L910" s="11"/>
      <c r="M910" s="11"/>
    </row>
    <row r="911" spans="1:13" ht="14.25" customHeight="1" x14ac:dyDescent="0.2">
      <c r="A911" s="11"/>
      <c r="B911" s="11"/>
      <c r="C911" s="11"/>
      <c r="D911" s="6"/>
      <c r="E911" s="11"/>
      <c r="F911" s="11"/>
      <c r="G911" s="11"/>
      <c r="H911" s="11"/>
      <c r="I911" s="11"/>
      <c r="J911" s="11"/>
      <c r="K911" s="11"/>
      <c r="L911" s="11"/>
      <c r="M911" s="11"/>
    </row>
    <row r="912" spans="1:13" ht="14.25" customHeight="1" x14ac:dyDescent="0.2">
      <c r="A912" s="11"/>
      <c r="B912" s="11"/>
      <c r="C912" s="11"/>
      <c r="D912" s="6"/>
      <c r="E912" s="11"/>
      <c r="F912" s="11"/>
      <c r="G912" s="11"/>
      <c r="H912" s="11"/>
      <c r="I912" s="11"/>
      <c r="J912" s="11"/>
      <c r="K912" s="11"/>
      <c r="L912" s="11"/>
      <c r="M912" s="11"/>
    </row>
    <row r="913" spans="1:13" ht="14.25" customHeight="1" x14ac:dyDescent="0.2">
      <c r="A913" s="11"/>
      <c r="B913" s="11"/>
      <c r="C913" s="11"/>
      <c r="D913" s="6"/>
      <c r="E913" s="11"/>
      <c r="F913" s="11"/>
      <c r="G913" s="11"/>
      <c r="H913" s="11"/>
      <c r="I913" s="11"/>
      <c r="J913" s="11"/>
      <c r="K913" s="11"/>
      <c r="L913" s="11"/>
      <c r="M913" s="11"/>
    </row>
    <row r="914" spans="1:13" ht="14.25" customHeight="1" x14ac:dyDescent="0.2">
      <c r="A914" s="11"/>
      <c r="B914" s="11"/>
      <c r="C914" s="11"/>
      <c r="D914" s="6"/>
      <c r="E914" s="11"/>
      <c r="F914" s="11"/>
      <c r="G914" s="11"/>
      <c r="H914" s="11"/>
      <c r="I914" s="11"/>
      <c r="J914" s="11"/>
      <c r="K914" s="11"/>
      <c r="L914" s="11"/>
      <c r="M914" s="11"/>
    </row>
    <row r="915" spans="1:13" ht="14.25" customHeight="1" x14ac:dyDescent="0.2">
      <c r="A915" s="11"/>
      <c r="B915" s="11"/>
      <c r="C915" s="11"/>
      <c r="D915" s="6"/>
      <c r="E915" s="11"/>
      <c r="F915" s="11"/>
      <c r="G915" s="11"/>
      <c r="H915" s="11"/>
      <c r="I915" s="11"/>
      <c r="J915" s="11"/>
      <c r="K915" s="11"/>
      <c r="L915" s="11"/>
      <c r="M915" s="11"/>
    </row>
    <row r="916" spans="1:13" ht="14.25" customHeight="1" x14ac:dyDescent="0.2">
      <c r="A916" s="11"/>
      <c r="B916" s="11"/>
      <c r="C916" s="11"/>
      <c r="D916" s="6"/>
      <c r="E916" s="11"/>
      <c r="F916" s="11"/>
      <c r="G916" s="11"/>
      <c r="H916" s="11"/>
      <c r="I916" s="11"/>
      <c r="J916" s="11"/>
      <c r="K916" s="11"/>
      <c r="L916" s="11"/>
      <c r="M916" s="11"/>
    </row>
    <row r="917" spans="1:13" ht="14.25" customHeight="1" x14ac:dyDescent="0.2">
      <c r="A917" s="11"/>
      <c r="B917" s="11"/>
      <c r="C917" s="11"/>
      <c r="D917" s="6"/>
      <c r="E917" s="11"/>
      <c r="F917" s="11"/>
      <c r="G917" s="11"/>
      <c r="H917" s="11"/>
      <c r="I917" s="11"/>
      <c r="J917" s="11"/>
      <c r="K917" s="11"/>
      <c r="L917" s="11"/>
      <c r="M917" s="11"/>
    </row>
    <row r="918" spans="1:13" ht="14.25" customHeight="1" x14ac:dyDescent="0.2">
      <c r="A918" s="11"/>
      <c r="B918" s="11"/>
      <c r="C918" s="11"/>
      <c r="D918" s="6"/>
      <c r="E918" s="11"/>
      <c r="F918" s="11"/>
      <c r="G918" s="11"/>
      <c r="H918" s="11"/>
      <c r="I918" s="11"/>
      <c r="J918" s="11"/>
      <c r="K918" s="11"/>
      <c r="L918" s="11"/>
      <c r="M918" s="11"/>
    </row>
    <row r="919" spans="1:13" ht="14.25" customHeight="1" x14ac:dyDescent="0.2">
      <c r="A919" s="11"/>
      <c r="B919" s="11"/>
      <c r="C919" s="11"/>
      <c r="D919" s="6"/>
      <c r="E919" s="11"/>
      <c r="F919" s="11"/>
      <c r="G919" s="11"/>
      <c r="H919" s="11"/>
      <c r="I919" s="11"/>
      <c r="J919" s="11"/>
      <c r="K919" s="11"/>
      <c r="L919" s="11"/>
      <c r="M919" s="11"/>
    </row>
    <row r="920" spans="1:13" ht="14.25" customHeight="1" x14ac:dyDescent="0.2">
      <c r="A920" s="11"/>
      <c r="B920" s="11"/>
      <c r="C920" s="11"/>
      <c r="D920" s="6"/>
      <c r="E920" s="11"/>
      <c r="F920" s="11"/>
      <c r="G920" s="11"/>
      <c r="H920" s="11"/>
      <c r="I920" s="11"/>
      <c r="J920" s="11"/>
      <c r="K920" s="11"/>
      <c r="L920" s="11"/>
      <c r="M920" s="11"/>
    </row>
    <row r="921" spans="1:13" ht="14.25" customHeight="1" x14ac:dyDescent="0.2">
      <c r="A921" s="11"/>
      <c r="B921" s="11"/>
      <c r="C921" s="11"/>
      <c r="D921" s="6"/>
      <c r="E921" s="11"/>
      <c r="F921" s="11"/>
      <c r="G921" s="11"/>
      <c r="H921" s="11"/>
      <c r="I921" s="11"/>
      <c r="J921" s="11"/>
      <c r="K921" s="11"/>
      <c r="L921" s="11"/>
      <c r="M921" s="11"/>
    </row>
    <row r="922" spans="1:13" ht="14.25" customHeight="1" x14ac:dyDescent="0.2">
      <c r="A922" s="11"/>
      <c r="B922" s="11"/>
      <c r="C922" s="11"/>
      <c r="D922" s="6"/>
      <c r="E922" s="11"/>
      <c r="F922" s="11"/>
      <c r="G922" s="11"/>
      <c r="H922" s="11"/>
      <c r="I922" s="11"/>
      <c r="J922" s="11"/>
      <c r="K922" s="11"/>
      <c r="L922" s="11"/>
      <c r="M922" s="11"/>
    </row>
    <row r="923" spans="1:13" ht="14.25" customHeight="1" x14ac:dyDescent="0.2">
      <c r="A923" s="11"/>
      <c r="B923" s="11"/>
      <c r="C923" s="11"/>
      <c r="D923" s="6"/>
      <c r="E923" s="11"/>
      <c r="F923" s="11"/>
      <c r="G923" s="11"/>
      <c r="H923" s="11"/>
      <c r="I923" s="11"/>
      <c r="J923" s="11"/>
      <c r="K923" s="11"/>
      <c r="L923" s="11"/>
      <c r="M923" s="11"/>
    </row>
    <row r="924" spans="1:13" ht="14.25" customHeight="1" x14ac:dyDescent="0.2">
      <c r="A924" s="11"/>
      <c r="B924" s="11"/>
      <c r="C924" s="11"/>
      <c r="D924" s="6"/>
      <c r="E924" s="11"/>
      <c r="F924" s="11"/>
      <c r="G924" s="11"/>
      <c r="H924" s="11"/>
      <c r="I924" s="11"/>
      <c r="J924" s="11"/>
      <c r="K924" s="11"/>
      <c r="L924" s="11"/>
      <c r="M924" s="11"/>
    </row>
    <row r="925" spans="1:13" ht="14.25" customHeight="1" x14ac:dyDescent="0.2">
      <c r="A925" s="11"/>
      <c r="B925" s="11"/>
      <c r="C925" s="11"/>
      <c r="D925" s="6"/>
      <c r="E925" s="11"/>
      <c r="F925" s="11"/>
      <c r="G925" s="11"/>
      <c r="H925" s="11"/>
      <c r="I925" s="11"/>
      <c r="J925" s="11"/>
      <c r="K925" s="11"/>
      <c r="L925" s="11"/>
      <c r="M925" s="11"/>
    </row>
    <row r="926" spans="1:13" ht="14.25" customHeight="1" x14ac:dyDescent="0.2">
      <c r="A926" s="11"/>
      <c r="B926" s="11"/>
      <c r="C926" s="11"/>
      <c r="D926" s="6"/>
      <c r="E926" s="11"/>
      <c r="F926" s="11"/>
      <c r="G926" s="11"/>
      <c r="H926" s="11"/>
      <c r="I926" s="11"/>
      <c r="J926" s="11"/>
      <c r="K926" s="11"/>
      <c r="L926" s="11"/>
      <c r="M926" s="11"/>
    </row>
    <row r="927" spans="1:13" ht="14.25" customHeight="1" x14ac:dyDescent="0.2">
      <c r="A927" s="11"/>
      <c r="B927" s="11"/>
      <c r="C927" s="11"/>
      <c r="D927" s="6"/>
      <c r="E927" s="11"/>
      <c r="F927" s="11"/>
      <c r="G927" s="11"/>
      <c r="H927" s="11"/>
      <c r="I927" s="11"/>
      <c r="J927" s="11"/>
      <c r="K927" s="11"/>
      <c r="L927" s="11"/>
      <c r="M927" s="11"/>
    </row>
    <row r="928" spans="1:13" ht="14.25" customHeight="1" x14ac:dyDescent="0.2">
      <c r="A928" s="11"/>
      <c r="B928" s="11"/>
      <c r="C928" s="11"/>
      <c r="D928" s="6"/>
      <c r="E928" s="11"/>
      <c r="F928" s="11"/>
      <c r="G928" s="11"/>
      <c r="H928" s="11"/>
      <c r="I928" s="11"/>
      <c r="J928" s="11"/>
      <c r="K928" s="11"/>
      <c r="L928" s="11"/>
      <c r="M928" s="11"/>
    </row>
    <row r="929" spans="1:13" ht="14.25" customHeight="1" x14ac:dyDescent="0.2">
      <c r="A929" s="11"/>
      <c r="B929" s="11"/>
      <c r="C929" s="11"/>
      <c r="D929" s="6"/>
      <c r="E929" s="11"/>
      <c r="F929" s="11"/>
      <c r="G929" s="11"/>
      <c r="H929" s="11"/>
      <c r="I929" s="11"/>
      <c r="J929" s="11"/>
      <c r="K929" s="11"/>
      <c r="L929" s="11"/>
      <c r="M929" s="11"/>
    </row>
    <row r="930" spans="1:13" ht="14.25" customHeight="1" x14ac:dyDescent="0.2">
      <c r="A930" s="11"/>
      <c r="B930" s="11"/>
      <c r="C930" s="11"/>
      <c r="D930" s="6"/>
      <c r="E930" s="11"/>
      <c r="F930" s="11"/>
      <c r="G930" s="11"/>
      <c r="H930" s="11"/>
      <c r="I930" s="11"/>
      <c r="J930" s="11"/>
      <c r="K930" s="11"/>
      <c r="L930" s="11"/>
      <c r="M930" s="11"/>
    </row>
    <row r="931" spans="1:13" ht="14.25" customHeight="1" x14ac:dyDescent="0.2">
      <c r="A931" s="11"/>
      <c r="B931" s="11"/>
      <c r="C931" s="11"/>
      <c r="D931" s="6"/>
      <c r="E931" s="11"/>
      <c r="F931" s="11"/>
      <c r="G931" s="11"/>
      <c r="H931" s="11"/>
      <c r="I931" s="11"/>
      <c r="J931" s="11"/>
      <c r="K931" s="11"/>
      <c r="L931" s="11"/>
      <c r="M931" s="11"/>
    </row>
    <row r="932" spans="1:13" ht="14.25" customHeight="1" x14ac:dyDescent="0.2">
      <c r="A932" s="11"/>
      <c r="B932" s="11"/>
      <c r="C932" s="11"/>
      <c r="D932" s="6"/>
      <c r="E932" s="11"/>
      <c r="F932" s="11"/>
      <c r="G932" s="11"/>
      <c r="H932" s="11"/>
      <c r="I932" s="11"/>
      <c r="J932" s="11"/>
      <c r="K932" s="11"/>
      <c r="L932" s="11"/>
      <c r="M932" s="11"/>
    </row>
    <row r="933" spans="1:13" ht="14.25" customHeight="1" x14ac:dyDescent="0.2">
      <c r="A933" s="11"/>
      <c r="B933" s="11"/>
      <c r="C933" s="11"/>
      <c r="D933" s="6"/>
      <c r="E933" s="11"/>
      <c r="F933" s="11"/>
      <c r="G933" s="11"/>
      <c r="H933" s="11"/>
      <c r="I933" s="11"/>
      <c r="J933" s="11"/>
      <c r="K933" s="11"/>
      <c r="L933" s="11"/>
      <c r="M933" s="11"/>
    </row>
    <row r="934" spans="1:13" ht="14.25" customHeight="1" x14ac:dyDescent="0.2">
      <c r="A934" s="11"/>
      <c r="B934" s="11"/>
      <c r="C934" s="11"/>
      <c r="D934" s="6"/>
      <c r="E934" s="11"/>
      <c r="F934" s="11"/>
      <c r="G934" s="11"/>
      <c r="H934" s="11"/>
      <c r="I934" s="11"/>
      <c r="J934" s="11"/>
      <c r="K934" s="11"/>
      <c r="L934" s="11"/>
      <c r="M934" s="11"/>
    </row>
    <row r="935" spans="1:13" ht="14.25" customHeight="1" x14ac:dyDescent="0.2">
      <c r="A935" s="11"/>
      <c r="B935" s="11"/>
      <c r="C935" s="11"/>
      <c r="D935" s="6"/>
      <c r="E935" s="11"/>
      <c r="F935" s="11"/>
      <c r="G935" s="11"/>
      <c r="H935" s="11"/>
      <c r="I935" s="11"/>
      <c r="J935" s="11"/>
      <c r="K935" s="11"/>
      <c r="L935" s="11"/>
      <c r="M935" s="11"/>
    </row>
    <row r="936" spans="1:13" ht="14.25" customHeight="1" x14ac:dyDescent="0.2">
      <c r="A936" s="11"/>
      <c r="B936" s="11"/>
      <c r="C936" s="11"/>
      <c r="D936" s="6"/>
      <c r="E936" s="11"/>
      <c r="F936" s="11"/>
      <c r="G936" s="11"/>
      <c r="H936" s="11"/>
      <c r="I936" s="11"/>
      <c r="J936" s="11"/>
      <c r="K936" s="11"/>
      <c r="L936" s="11"/>
      <c r="M936" s="11"/>
    </row>
    <row r="937" spans="1:13" ht="14.25" customHeight="1" x14ac:dyDescent="0.2">
      <c r="A937" s="11"/>
      <c r="B937" s="11"/>
      <c r="C937" s="11"/>
      <c r="D937" s="6"/>
      <c r="E937" s="11"/>
      <c r="F937" s="11"/>
      <c r="G937" s="11"/>
      <c r="H937" s="11"/>
      <c r="I937" s="11"/>
      <c r="J937" s="11"/>
      <c r="K937" s="11"/>
      <c r="L937" s="11"/>
      <c r="M937" s="11"/>
    </row>
    <row r="938" spans="1:13" ht="14.25" customHeight="1" x14ac:dyDescent="0.2">
      <c r="A938" s="11"/>
      <c r="B938" s="11"/>
      <c r="C938" s="11"/>
      <c r="D938" s="6"/>
      <c r="E938" s="11"/>
      <c r="F938" s="11"/>
      <c r="G938" s="11"/>
      <c r="H938" s="11"/>
      <c r="I938" s="11"/>
      <c r="J938" s="11"/>
      <c r="K938" s="11"/>
      <c r="L938" s="11"/>
      <c r="M938" s="11"/>
    </row>
    <row r="939" spans="1:13" ht="14.25" customHeight="1" x14ac:dyDescent="0.2">
      <c r="A939" s="11"/>
      <c r="B939" s="11"/>
      <c r="C939" s="11"/>
      <c r="D939" s="6"/>
      <c r="E939" s="11"/>
      <c r="F939" s="11"/>
      <c r="G939" s="11"/>
      <c r="H939" s="11"/>
      <c r="I939" s="11"/>
      <c r="J939" s="11"/>
      <c r="K939" s="11"/>
      <c r="L939" s="11"/>
      <c r="M939" s="11"/>
    </row>
    <row r="940" spans="1:13" ht="14.25" customHeight="1" x14ac:dyDescent="0.2">
      <c r="A940" s="11"/>
      <c r="B940" s="11"/>
      <c r="C940" s="11"/>
      <c r="D940" s="6"/>
      <c r="E940" s="11"/>
      <c r="F940" s="11"/>
      <c r="G940" s="11"/>
      <c r="H940" s="11"/>
      <c r="I940" s="11"/>
      <c r="J940" s="11"/>
      <c r="K940" s="11"/>
      <c r="L940" s="11"/>
      <c r="M940" s="11"/>
    </row>
    <row r="941" spans="1:13" ht="14.25" customHeight="1" x14ac:dyDescent="0.2">
      <c r="A941" s="11"/>
      <c r="B941" s="11"/>
      <c r="C941" s="11"/>
      <c r="D941" s="6"/>
      <c r="E941" s="11"/>
      <c r="F941" s="11"/>
      <c r="G941" s="11"/>
      <c r="H941" s="11"/>
      <c r="I941" s="11"/>
      <c r="J941" s="11"/>
      <c r="K941" s="11"/>
      <c r="L941" s="11"/>
      <c r="M941" s="11"/>
    </row>
    <row r="942" spans="1:13" ht="14.25" customHeight="1" x14ac:dyDescent="0.2">
      <c r="A942" s="11"/>
      <c r="B942" s="11"/>
      <c r="C942" s="11"/>
      <c r="D942" s="6"/>
      <c r="E942" s="11"/>
      <c r="F942" s="11"/>
      <c r="G942" s="11"/>
      <c r="H942" s="11"/>
      <c r="I942" s="11"/>
      <c r="J942" s="11"/>
      <c r="K942" s="11"/>
      <c r="L942" s="11"/>
      <c r="M942" s="11"/>
    </row>
    <row r="943" spans="1:13" ht="14.25" customHeight="1" x14ac:dyDescent="0.2">
      <c r="A943" s="11"/>
      <c r="B943" s="11"/>
      <c r="C943" s="11"/>
      <c r="D943" s="6"/>
      <c r="E943" s="11"/>
      <c r="F943" s="11"/>
      <c r="G943" s="11"/>
      <c r="H943" s="11"/>
      <c r="I943" s="11"/>
      <c r="J943" s="11"/>
      <c r="K943" s="11"/>
      <c r="L943" s="11"/>
      <c r="M943" s="11"/>
    </row>
    <row r="944" spans="1:13" ht="14.25" customHeight="1" x14ac:dyDescent="0.2">
      <c r="A944" s="11"/>
      <c r="B944" s="11"/>
      <c r="C944" s="11"/>
      <c r="D944" s="6"/>
      <c r="E944" s="11"/>
      <c r="F944" s="11"/>
      <c r="G944" s="11"/>
      <c r="H944" s="11"/>
      <c r="I944" s="11"/>
      <c r="J944" s="11"/>
      <c r="K944" s="11"/>
      <c r="L944" s="11"/>
      <c r="M944" s="11"/>
    </row>
    <row r="945" spans="1:13" ht="14.25" customHeight="1" x14ac:dyDescent="0.2">
      <c r="A945" s="11"/>
      <c r="B945" s="11"/>
      <c r="C945" s="11"/>
      <c r="D945" s="6"/>
      <c r="E945" s="11"/>
      <c r="F945" s="11"/>
      <c r="G945" s="11"/>
      <c r="H945" s="11"/>
      <c r="I945" s="11"/>
      <c r="J945" s="11"/>
      <c r="K945" s="11"/>
      <c r="L945" s="11"/>
      <c r="M945" s="11"/>
    </row>
    <row r="946" spans="1:13" ht="14.25" customHeight="1" x14ac:dyDescent="0.2">
      <c r="A946" s="11"/>
      <c r="B946" s="11"/>
      <c r="C946" s="11"/>
      <c r="D946" s="6"/>
      <c r="E946" s="11"/>
      <c r="F946" s="11"/>
      <c r="G946" s="11"/>
      <c r="H946" s="11"/>
      <c r="I946" s="11"/>
      <c r="J946" s="11"/>
      <c r="K946" s="11"/>
      <c r="L946" s="11"/>
      <c r="M946" s="11"/>
    </row>
    <row r="947" spans="1:13" ht="14.25" customHeight="1" x14ac:dyDescent="0.2">
      <c r="A947" s="11"/>
      <c r="B947" s="11"/>
      <c r="C947" s="11"/>
      <c r="D947" s="6"/>
      <c r="E947" s="11"/>
      <c r="F947" s="11"/>
      <c r="G947" s="11"/>
      <c r="H947" s="11"/>
      <c r="I947" s="11"/>
      <c r="J947" s="11"/>
      <c r="K947" s="11"/>
      <c r="L947" s="11"/>
      <c r="M947" s="11"/>
    </row>
    <row r="948" spans="1:13" ht="14.25" customHeight="1" x14ac:dyDescent="0.2">
      <c r="A948" s="11"/>
      <c r="B948" s="11"/>
      <c r="C948" s="11"/>
      <c r="D948" s="6"/>
      <c r="E948" s="11"/>
      <c r="F948" s="11"/>
      <c r="G948" s="11"/>
      <c r="H948" s="11"/>
      <c r="I948" s="11"/>
      <c r="J948" s="11"/>
      <c r="K948" s="11"/>
      <c r="L948" s="11"/>
      <c r="M948" s="11"/>
    </row>
    <row r="949" spans="1:13" ht="14.25" customHeight="1" x14ac:dyDescent="0.2">
      <c r="A949" s="11"/>
      <c r="B949" s="11"/>
      <c r="C949" s="11"/>
      <c r="D949" s="6"/>
      <c r="E949" s="11"/>
      <c r="F949" s="11"/>
      <c r="G949" s="11"/>
      <c r="H949" s="11"/>
      <c r="I949" s="11"/>
      <c r="J949" s="11"/>
      <c r="K949" s="11"/>
      <c r="L949" s="11"/>
      <c r="M949" s="11"/>
    </row>
    <row r="950" spans="1:13" ht="14.25" customHeight="1" x14ac:dyDescent="0.2">
      <c r="A950" s="11"/>
      <c r="B950" s="11"/>
      <c r="C950" s="11"/>
      <c r="D950" s="6"/>
      <c r="E950" s="11"/>
      <c r="F950" s="11"/>
      <c r="G950" s="11"/>
      <c r="H950" s="11"/>
      <c r="I950" s="11"/>
      <c r="J950" s="11"/>
      <c r="K950" s="11"/>
      <c r="L950" s="11"/>
      <c r="M950" s="11"/>
    </row>
    <row r="951" spans="1:13" ht="14.25" customHeight="1" x14ac:dyDescent="0.2">
      <c r="A951" s="11"/>
      <c r="B951" s="11"/>
      <c r="C951" s="11"/>
      <c r="D951" s="6"/>
      <c r="E951" s="11"/>
      <c r="F951" s="11"/>
      <c r="G951" s="11"/>
      <c r="H951" s="11"/>
      <c r="I951" s="11"/>
      <c r="J951" s="11"/>
      <c r="K951" s="11"/>
      <c r="L951" s="11"/>
      <c r="M951" s="11"/>
    </row>
    <row r="952" spans="1:13" ht="14.25" customHeight="1" x14ac:dyDescent="0.2">
      <c r="A952" s="11"/>
      <c r="B952" s="11"/>
      <c r="C952" s="11"/>
      <c r="D952" s="6"/>
      <c r="E952" s="11"/>
      <c r="F952" s="11"/>
      <c r="G952" s="11"/>
      <c r="H952" s="11"/>
      <c r="I952" s="11"/>
      <c r="J952" s="11"/>
      <c r="K952" s="11"/>
      <c r="L952" s="11"/>
      <c r="M952" s="11"/>
    </row>
    <row r="953" spans="1:13" ht="14.25" customHeight="1" x14ac:dyDescent="0.2">
      <c r="A953" s="11"/>
      <c r="B953" s="11"/>
      <c r="C953" s="11"/>
      <c r="D953" s="6"/>
      <c r="E953" s="11"/>
      <c r="F953" s="11"/>
      <c r="G953" s="11"/>
      <c r="H953" s="11"/>
      <c r="I953" s="11"/>
      <c r="J953" s="11"/>
      <c r="K953" s="11"/>
      <c r="L953" s="11"/>
      <c r="M953" s="11"/>
    </row>
    <row r="954" spans="1:13" ht="14.25" customHeight="1" x14ac:dyDescent="0.2">
      <c r="A954" s="11"/>
      <c r="B954" s="11"/>
      <c r="C954" s="11"/>
      <c r="D954" s="6"/>
      <c r="E954" s="11"/>
      <c r="F954" s="11"/>
      <c r="G954" s="11"/>
      <c r="H954" s="11"/>
      <c r="I954" s="11"/>
      <c r="J954" s="11"/>
      <c r="K954" s="11"/>
      <c r="L954" s="11"/>
      <c r="M954" s="11"/>
    </row>
    <row r="955" spans="1:13" ht="14.25" customHeight="1" x14ac:dyDescent="0.2">
      <c r="A955" s="11"/>
      <c r="B955" s="11"/>
      <c r="C955" s="11"/>
      <c r="D955" s="6"/>
      <c r="E955" s="11"/>
      <c r="F955" s="11"/>
      <c r="G955" s="11"/>
      <c r="H955" s="11"/>
      <c r="I955" s="11"/>
      <c r="J955" s="11"/>
      <c r="K955" s="11"/>
      <c r="L955" s="11"/>
      <c r="M955" s="11"/>
    </row>
    <row r="956" spans="1:13" ht="14.25" customHeight="1" x14ac:dyDescent="0.2">
      <c r="A956" s="11"/>
      <c r="B956" s="11"/>
      <c r="C956" s="11"/>
      <c r="D956" s="6"/>
      <c r="E956" s="11"/>
      <c r="F956" s="11"/>
      <c r="G956" s="11"/>
      <c r="H956" s="11"/>
      <c r="I956" s="11"/>
      <c r="J956" s="11"/>
      <c r="K956" s="11"/>
      <c r="L956" s="11"/>
      <c r="M956" s="11"/>
    </row>
    <row r="957" spans="1:13" ht="14.25" customHeight="1" x14ac:dyDescent="0.2">
      <c r="A957" s="11"/>
      <c r="B957" s="11"/>
      <c r="C957" s="11"/>
      <c r="D957" s="6"/>
      <c r="E957" s="11"/>
      <c r="F957" s="11"/>
      <c r="G957" s="11"/>
      <c r="H957" s="11"/>
      <c r="I957" s="11"/>
      <c r="J957" s="11"/>
      <c r="K957" s="11"/>
      <c r="L957" s="11"/>
      <c r="M957" s="11"/>
    </row>
    <row r="958" spans="1:13" ht="14.25" customHeight="1" x14ac:dyDescent="0.2">
      <c r="A958" s="11"/>
      <c r="B958" s="11"/>
      <c r="C958" s="11"/>
      <c r="D958" s="6"/>
      <c r="E958" s="11"/>
      <c r="F958" s="11"/>
      <c r="G958" s="11"/>
      <c r="H958" s="11"/>
      <c r="I958" s="11"/>
      <c r="J958" s="11"/>
      <c r="K958" s="11"/>
      <c r="L958" s="11"/>
      <c r="M958" s="11"/>
    </row>
    <row r="959" spans="1:13" ht="14.25" customHeight="1" x14ac:dyDescent="0.2">
      <c r="A959" s="11"/>
      <c r="B959" s="11"/>
      <c r="C959" s="11"/>
      <c r="D959" s="6"/>
      <c r="E959" s="11"/>
      <c r="F959" s="11"/>
      <c r="G959" s="11"/>
      <c r="H959" s="11"/>
      <c r="I959" s="11"/>
      <c r="J959" s="11"/>
      <c r="K959" s="11"/>
      <c r="L959" s="11"/>
      <c r="M959" s="11"/>
    </row>
    <row r="960" spans="1:13" ht="14.25" customHeight="1" x14ac:dyDescent="0.2">
      <c r="A960" s="11"/>
      <c r="B960" s="11"/>
      <c r="C960" s="11"/>
      <c r="D960" s="6"/>
      <c r="E960" s="11"/>
      <c r="F960" s="11"/>
      <c r="G960" s="11"/>
      <c r="H960" s="11"/>
      <c r="I960" s="11"/>
      <c r="J960" s="11"/>
      <c r="K960" s="11"/>
      <c r="L960" s="11"/>
      <c r="M960" s="11"/>
    </row>
    <row r="961" spans="1:13" ht="14.25" customHeight="1" x14ac:dyDescent="0.2">
      <c r="A961" s="11"/>
      <c r="B961" s="11"/>
      <c r="C961" s="11"/>
      <c r="D961" s="6"/>
      <c r="E961" s="11"/>
      <c r="F961" s="11"/>
      <c r="G961" s="11"/>
      <c r="H961" s="11"/>
      <c r="I961" s="11"/>
      <c r="J961" s="11"/>
      <c r="K961" s="11"/>
      <c r="L961" s="11"/>
      <c r="M961" s="11"/>
    </row>
    <row r="962" spans="1:13" ht="14.25" customHeight="1" x14ac:dyDescent="0.2">
      <c r="A962" s="11"/>
      <c r="B962" s="11"/>
      <c r="C962" s="11"/>
      <c r="D962" s="6"/>
      <c r="E962" s="11"/>
      <c r="F962" s="11"/>
      <c r="G962" s="11"/>
      <c r="H962" s="11"/>
      <c r="I962" s="11"/>
      <c r="J962" s="11"/>
      <c r="K962" s="11"/>
      <c r="L962" s="11"/>
      <c r="M962" s="11"/>
    </row>
    <row r="963" spans="1:13" ht="14.25" customHeight="1" x14ac:dyDescent="0.2">
      <c r="A963" s="11"/>
      <c r="B963" s="11"/>
      <c r="C963" s="11"/>
      <c r="D963" s="6"/>
      <c r="E963" s="11"/>
      <c r="F963" s="11"/>
      <c r="G963" s="11"/>
      <c r="H963" s="11"/>
      <c r="I963" s="11"/>
      <c r="J963" s="11"/>
      <c r="K963" s="11"/>
      <c r="L963" s="11"/>
      <c r="M963" s="11"/>
    </row>
    <row r="964" spans="1:13" ht="14.25" customHeight="1" x14ac:dyDescent="0.2">
      <c r="A964" s="11"/>
      <c r="B964" s="11"/>
      <c r="C964" s="11"/>
      <c r="D964" s="6"/>
      <c r="E964" s="11"/>
      <c r="F964" s="11"/>
      <c r="G964" s="11"/>
      <c r="H964" s="11"/>
      <c r="I964" s="11"/>
      <c r="J964" s="11"/>
      <c r="K964" s="11"/>
      <c r="L964" s="11"/>
      <c r="M964" s="11"/>
    </row>
    <row r="965" spans="1:13" ht="14.25" customHeight="1" x14ac:dyDescent="0.2">
      <c r="A965" s="11"/>
      <c r="B965" s="11"/>
      <c r="C965" s="11"/>
      <c r="D965" s="6"/>
      <c r="E965" s="11"/>
      <c r="F965" s="11"/>
      <c r="G965" s="11"/>
      <c r="H965" s="11"/>
      <c r="I965" s="11"/>
      <c r="J965" s="11"/>
      <c r="K965" s="11"/>
      <c r="L965" s="11"/>
      <c r="M965" s="11"/>
    </row>
    <row r="966" spans="1:13" ht="14.25" customHeight="1" x14ac:dyDescent="0.2">
      <c r="A966" s="11"/>
      <c r="B966" s="11"/>
      <c r="C966" s="11"/>
      <c r="D966" s="6"/>
      <c r="E966" s="11"/>
      <c r="F966" s="11"/>
      <c r="G966" s="11"/>
      <c r="H966" s="11"/>
      <c r="I966" s="11"/>
      <c r="J966" s="11"/>
      <c r="K966" s="11"/>
      <c r="L966" s="11"/>
      <c r="M966" s="11"/>
    </row>
    <row r="967" spans="1:13" ht="14.25" customHeight="1" x14ac:dyDescent="0.2">
      <c r="A967" s="11"/>
      <c r="B967" s="11"/>
      <c r="C967" s="11"/>
      <c r="D967" s="6"/>
      <c r="E967" s="11"/>
      <c r="F967" s="11"/>
      <c r="G967" s="11"/>
      <c r="H967" s="11"/>
      <c r="I967" s="11"/>
      <c r="J967" s="11"/>
      <c r="K967" s="11"/>
      <c r="L967" s="11"/>
      <c r="M967" s="11"/>
    </row>
    <row r="968" spans="1:13" ht="14.25" customHeight="1" x14ac:dyDescent="0.2">
      <c r="A968" s="11"/>
      <c r="B968" s="11"/>
      <c r="C968" s="11"/>
      <c r="D968" s="6"/>
      <c r="E968" s="11"/>
      <c r="F968" s="11"/>
      <c r="G968" s="11"/>
      <c r="H968" s="11"/>
      <c r="I968" s="11"/>
      <c r="J968" s="11"/>
      <c r="K968" s="11"/>
      <c r="L968" s="11"/>
      <c r="M968" s="11"/>
    </row>
    <row r="969" spans="1:13" ht="14.25" customHeight="1" x14ac:dyDescent="0.2">
      <c r="A969" s="11"/>
      <c r="B969" s="11"/>
      <c r="C969" s="11"/>
      <c r="D969" s="6"/>
      <c r="E969" s="11"/>
      <c r="F969" s="11"/>
      <c r="G969" s="11"/>
      <c r="H969" s="11"/>
      <c r="I969" s="11"/>
      <c r="J969" s="11"/>
      <c r="K969" s="11"/>
      <c r="L969" s="11"/>
      <c r="M969" s="11"/>
    </row>
    <row r="970" spans="1:13" ht="14.25" customHeight="1" x14ac:dyDescent="0.2">
      <c r="A970" s="11"/>
      <c r="B970" s="11"/>
      <c r="C970" s="11"/>
      <c r="D970" s="6"/>
      <c r="E970" s="11"/>
      <c r="F970" s="11"/>
      <c r="G970" s="11"/>
      <c r="H970" s="11"/>
      <c r="I970" s="11"/>
      <c r="J970" s="11"/>
      <c r="K970" s="11"/>
      <c r="L970" s="11"/>
      <c r="M970" s="11"/>
    </row>
    <row r="971" spans="1:13" ht="14.25" customHeight="1" x14ac:dyDescent="0.2">
      <c r="A971" s="11"/>
      <c r="B971" s="11"/>
      <c r="C971" s="11"/>
      <c r="D971" s="6"/>
      <c r="E971" s="11"/>
      <c r="F971" s="11"/>
      <c r="G971" s="11"/>
      <c r="H971" s="11"/>
      <c r="I971" s="11"/>
      <c r="J971" s="11"/>
      <c r="K971" s="11"/>
      <c r="L971" s="11"/>
      <c r="M971" s="11"/>
    </row>
    <row r="972" spans="1:13" ht="14.25" customHeight="1" x14ac:dyDescent="0.2">
      <c r="A972" s="11"/>
      <c r="B972" s="11"/>
      <c r="C972" s="11"/>
      <c r="D972" s="6"/>
      <c r="E972" s="11"/>
      <c r="F972" s="11"/>
      <c r="G972" s="11"/>
      <c r="H972" s="11"/>
      <c r="I972" s="11"/>
      <c r="J972" s="11"/>
      <c r="K972" s="11"/>
      <c r="L972" s="11"/>
      <c r="M972" s="11"/>
    </row>
    <row r="973" spans="1:13" ht="14.25" customHeight="1" x14ac:dyDescent="0.2">
      <c r="A973" s="11"/>
      <c r="B973" s="11"/>
      <c r="C973" s="11"/>
      <c r="D973" s="6"/>
      <c r="E973" s="11"/>
      <c r="F973" s="11"/>
      <c r="G973" s="11"/>
      <c r="H973" s="11"/>
      <c r="I973" s="11"/>
      <c r="J973" s="11"/>
      <c r="K973" s="11"/>
      <c r="L973" s="11"/>
      <c r="M973" s="11"/>
    </row>
    <row r="974" spans="1:13" ht="14.25" customHeight="1" x14ac:dyDescent="0.2">
      <c r="A974" s="11"/>
      <c r="B974" s="11"/>
      <c r="C974" s="11"/>
      <c r="D974" s="6"/>
      <c r="E974" s="11"/>
      <c r="F974" s="11"/>
      <c r="G974" s="11"/>
      <c r="H974" s="11"/>
      <c r="I974" s="11"/>
      <c r="J974" s="11"/>
      <c r="K974" s="11"/>
      <c r="L974" s="11"/>
      <c r="M974" s="11"/>
    </row>
    <row r="975" spans="1:13" ht="14.25" customHeight="1" x14ac:dyDescent="0.2">
      <c r="A975" s="11"/>
      <c r="B975" s="11"/>
      <c r="C975" s="11"/>
      <c r="D975" s="6"/>
      <c r="E975" s="11"/>
      <c r="F975" s="11"/>
      <c r="G975" s="11"/>
      <c r="H975" s="11"/>
      <c r="I975" s="11"/>
      <c r="J975" s="11"/>
      <c r="K975" s="11"/>
      <c r="L975" s="11"/>
      <c r="M975" s="11"/>
    </row>
    <row r="976" spans="1:13" ht="14.25" customHeight="1" x14ac:dyDescent="0.2">
      <c r="A976" s="11"/>
      <c r="B976" s="11"/>
      <c r="C976" s="11"/>
      <c r="D976" s="6"/>
      <c r="E976" s="11"/>
      <c r="F976" s="11"/>
      <c r="G976" s="11"/>
      <c r="H976" s="11"/>
      <c r="I976" s="11"/>
      <c r="J976" s="11"/>
      <c r="K976" s="11"/>
      <c r="L976" s="11"/>
      <c r="M976" s="11"/>
    </row>
    <row r="977" spans="1:13" ht="14.25" customHeight="1" x14ac:dyDescent="0.2">
      <c r="A977" s="11"/>
      <c r="B977" s="11"/>
      <c r="C977" s="11"/>
      <c r="D977" s="6"/>
      <c r="E977" s="11"/>
      <c r="F977" s="11"/>
      <c r="G977" s="11"/>
      <c r="H977" s="11"/>
      <c r="I977" s="11"/>
      <c r="J977" s="11"/>
      <c r="K977" s="11"/>
      <c r="L977" s="11"/>
      <c r="M977" s="11"/>
    </row>
    <row r="978" spans="1:13" ht="14.25" customHeight="1" x14ac:dyDescent="0.2">
      <c r="A978" s="11"/>
      <c r="B978" s="11"/>
      <c r="C978" s="11"/>
      <c r="D978" s="6"/>
      <c r="E978" s="11"/>
      <c r="F978" s="11"/>
      <c r="G978" s="11"/>
      <c r="H978" s="11"/>
      <c r="I978" s="11"/>
      <c r="J978" s="11"/>
      <c r="K978" s="11"/>
      <c r="L978" s="11"/>
      <c r="M978" s="11"/>
    </row>
    <row r="979" spans="1:13" ht="14.25" customHeight="1" x14ac:dyDescent="0.2">
      <c r="A979" s="11"/>
      <c r="B979" s="11"/>
      <c r="C979" s="11"/>
      <c r="D979" s="6"/>
      <c r="E979" s="11"/>
      <c r="F979" s="11"/>
      <c r="G979" s="11"/>
      <c r="H979" s="11"/>
      <c r="I979" s="11"/>
      <c r="J979" s="11"/>
      <c r="K979" s="11"/>
      <c r="L979" s="11"/>
      <c r="M979" s="11"/>
    </row>
    <row r="980" spans="1:13" ht="14.25" customHeight="1" x14ac:dyDescent="0.2">
      <c r="A980" s="11"/>
      <c r="B980" s="11"/>
      <c r="C980" s="11"/>
      <c r="D980" s="6"/>
      <c r="E980" s="11"/>
      <c r="F980" s="11"/>
      <c r="G980" s="11"/>
      <c r="H980" s="11"/>
      <c r="I980" s="11"/>
      <c r="J980" s="11"/>
      <c r="K980" s="11"/>
      <c r="L980" s="11"/>
      <c r="M980" s="11"/>
    </row>
    <row r="981" spans="1:13" ht="14.25" customHeight="1" x14ac:dyDescent="0.2">
      <c r="A981" s="11"/>
      <c r="B981" s="11"/>
      <c r="C981" s="11"/>
      <c r="D981" s="6"/>
      <c r="E981" s="11"/>
      <c r="F981" s="11"/>
      <c r="G981" s="11"/>
      <c r="H981" s="11"/>
      <c r="I981" s="11"/>
      <c r="J981" s="11"/>
      <c r="K981" s="11"/>
      <c r="L981" s="11"/>
      <c r="M981" s="11"/>
    </row>
    <row r="982" spans="1:13" ht="14.25" customHeight="1" x14ac:dyDescent="0.2">
      <c r="A982" s="11"/>
      <c r="B982" s="11"/>
      <c r="C982" s="11"/>
      <c r="D982" s="6"/>
      <c r="E982" s="11"/>
      <c r="F982" s="11"/>
      <c r="G982" s="11"/>
      <c r="H982" s="11"/>
      <c r="I982" s="11"/>
      <c r="J982" s="11"/>
      <c r="K982" s="11"/>
      <c r="L982" s="11"/>
      <c r="M982" s="11"/>
    </row>
    <row r="983" spans="1:13" ht="14.25" customHeight="1" x14ac:dyDescent="0.2">
      <c r="A983" s="11"/>
      <c r="B983" s="11"/>
      <c r="C983" s="11"/>
      <c r="D983" s="6"/>
      <c r="E983" s="11"/>
      <c r="F983" s="11"/>
      <c r="G983" s="11"/>
      <c r="H983" s="11"/>
      <c r="I983" s="11"/>
      <c r="J983" s="11"/>
      <c r="K983" s="11"/>
      <c r="L983" s="11"/>
      <c r="M983" s="11"/>
    </row>
    <row r="984" spans="1:13" ht="14.25" customHeight="1" x14ac:dyDescent="0.2">
      <c r="A984" s="11"/>
      <c r="B984" s="11"/>
      <c r="C984" s="11"/>
      <c r="D984" s="6"/>
      <c r="E984" s="11"/>
      <c r="F984" s="11"/>
      <c r="G984" s="11"/>
      <c r="H984" s="11"/>
      <c r="I984" s="11"/>
      <c r="J984" s="11"/>
      <c r="K984" s="11"/>
      <c r="L984" s="11"/>
      <c r="M984" s="11"/>
    </row>
    <row r="985" spans="1:13" ht="14.25" customHeight="1" x14ac:dyDescent="0.2">
      <c r="A985" s="11"/>
      <c r="B985" s="11"/>
      <c r="C985" s="11"/>
      <c r="D985" s="6"/>
      <c r="E985" s="11"/>
      <c r="F985" s="11"/>
      <c r="G985" s="11"/>
      <c r="H985" s="11"/>
      <c r="I985" s="11"/>
      <c r="J985" s="11"/>
      <c r="K985" s="11"/>
      <c r="L985" s="11"/>
      <c r="M985" s="11"/>
    </row>
    <row r="986" spans="1:13" ht="14.25" customHeight="1" x14ac:dyDescent="0.2">
      <c r="A986" s="11"/>
      <c r="B986" s="11"/>
      <c r="C986" s="11"/>
      <c r="D986" s="6"/>
      <c r="E986" s="11"/>
      <c r="F986" s="11"/>
      <c r="G986" s="11"/>
      <c r="H986" s="11"/>
      <c r="I986" s="11"/>
      <c r="J986" s="11"/>
      <c r="K986" s="11"/>
      <c r="L986" s="11"/>
      <c r="M986" s="11"/>
    </row>
    <row r="987" spans="1:13" ht="14.25" customHeight="1" x14ac:dyDescent="0.2">
      <c r="A987" s="11"/>
      <c r="B987" s="11"/>
      <c r="C987" s="11"/>
      <c r="D987" s="6"/>
      <c r="E987" s="11"/>
      <c r="F987" s="11"/>
      <c r="G987" s="11"/>
      <c r="H987" s="11"/>
      <c r="I987" s="11"/>
      <c r="J987" s="11"/>
      <c r="K987" s="11"/>
      <c r="L987" s="11"/>
      <c r="M987" s="11"/>
    </row>
    <row r="988" spans="1:13" ht="14.25" customHeight="1" x14ac:dyDescent="0.2">
      <c r="A988" s="11"/>
      <c r="B988" s="11"/>
      <c r="C988" s="11"/>
      <c r="D988" s="6"/>
      <c r="E988" s="11"/>
      <c r="F988" s="11"/>
      <c r="G988" s="11"/>
      <c r="H988" s="11"/>
      <c r="I988" s="11"/>
      <c r="J988" s="11"/>
      <c r="K988" s="11"/>
      <c r="L988" s="11"/>
      <c r="M988" s="11"/>
    </row>
    <row r="989" spans="1:13" ht="14.25" customHeight="1" x14ac:dyDescent="0.2">
      <c r="A989" s="11"/>
      <c r="B989" s="11"/>
      <c r="C989" s="11"/>
      <c r="D989" s="6"/>
      <c r="E989" s="11"/>
      <c r="F989" s="11"/>
      <c r="G989" s="11"/>
      <c r="H989" s="11"/>
      <c r="I989" s="11"/>
      <c r="J989" s="11"/>
      <c r="K989" s="11"/>
      <c r="L989" s="11"/>
      <c r="M989" s="11"/>
    </row>
    <row r="990" spans="1:13" ht="14.25" customHeight="1" x14ac:dyDescent="0.2">
      <c r="A990" s="11"/>
      <c r="B990" s="11"/>
      <c r="C990" s="11"/>
      <c r="D990" s="6"/>
      <c r="E990" s="11"/>
      <c r="F990" s="11"/>
      <c r="G990" s="11"/>
      <c r="H990" s="11"/>
      <c r="I990" s="11"/>
      <c r="J990" s="11"/>
      <c r="K990" s="11"/>
      <c r="L990" s="11"/>
      <c r="M990" s="11"/>
    </row>
    <row r="991" spans="1:13" ht="14.25" customHeight="1" x14ac:dyDescent="0.2">
      <c r="A991" s="11"/>
      <c r="B991" s="11"/>
      <c r="C991" s="11"/>
      <c r="D991" s="6"/>
      <c r="E991" s="11"/>
      <c r="F991" s="11"/>
      <c r="G991" s="11"/>
      <c r="H991" s="11"/>
      <c r="I991" s="11"/>
      <c r="J991" s="11"/>
      <c r="K991" s="11"/>
      <c r="L991" s="11"/>
      <c r="M991" s="11"/>
    </row>
    <row r="992" spans="1:13" ht="14.25" customHeight="1" x14ac:dyDescent="0.2">
      <c r="A992" s="11"/>
      <c r="B992" s="11"/>
      <c r="C992" s="11"/>
      <c r="D992" s="6"/>
      <c r="E992" s="11"/>
      <c r="F992" s="11"/>
      <c r="G992" s="11"/>
      <c r="H992" s="11"/>
      <c r="I992" s="11"/>
      <c r="J992" s="11"/>
      <c r="K992" s="11"/>
      <c r="L992" s="11"/>
      <c r="M992" s="11"/>
    </row>
    <row r="993" spans="1:13" ht="14.25" customHeight="1" x14ac:dyDescent="0.2">
      <c r="A993" s="11"/>
      <c r="B993" s="11"/>
      <c r="C993" s="11"/>
      <c r="D993" s="6"/>
      <c r="E993" s="11"/>
      <c r="F993" s="11"/>
      <c r="G993" s="11"/>
      <c r="H993" s="11"/>
      <c r="I993" s="11"/>
      <c r="J993" s="11"/>
      <c r="K993" s="11"/>
      <c r="L993" s="11"/>
      <c r="M993" s="11"/>
    </row>
    <row r="994" spans="1:13" ht="14.25" customHeight="1" x14ac:dyDescent="0.2">
      <c r="A994" s="11"/>
      <c r="B994" s="11"/>
      <c r="C994" s="11"/>
      <c r="D994" s="6"/>
      <c r="E994" s="11"/>
      <c r="F994" s="11"/>
      <c r="G994" s="11"/>
      <c r="H994" s="11"/>
      <c r="I994" s="11"/>
      <c r="J994" s="11"/>
      <c r="K994" s="11"/>
      <c r="L994" s="11"/>
      <c r="M994" s="11"/>
    </row>
    <row r="995" spans="1:13" ht="14.25" customHeight="1" x14ac:dyDescent="0.2">
      <c r="A995" s="11"/>
      <c r="B995" s="11"/>
      <c r="C995" s="11"/>
      <c r="D995" s="6"/>
      <c r="E995" s="11"/>
      <c r="F995" s="11"/>
      <c r="G995" s="11"/>
      <c r="H995" s="11"/>
      <c r="I995" s="11"/>
      <c r="J995" s="11"/>
      <c r="K995" s="11"/>
      <c r="L995" s="11"/>
      <c r="M995" s="11"/>
    </row>
    <row r="996" spans="1:13" ht="14.25" customHeight="1" x14ac:dyDescent="0.2">
      <c r="A996" s="11"/>
      <c r="B996" s="11"/>
      <c r="C996" s="11"/>
      <c r="D996" s="6"/>
      <c r="E996" s="11"/>
      <c r="F996" s="11"/>
      <c r="G996" s="11"/>
      <c r="H996" s="11"/>
      <c r="I996" s="11"/>
      <c r="J996" s="11"/>
      <c r="K996" s="11"/>
      <c r="L996" s="11"/>
      <c r="M996" s="11"/>
    </row>
    <row r="997" spans="1:13" ht="14.25" customHeight="1" x14ac:dyDescent="0.2">
      <c r="A997" s="11"/>
      <c r="B997" s="11"/>
      <c r="C997" s="11"/>
      <c r="D997" s="6"/>
      <c r="E997" s="11"/>
      <c r="F997" s="11"/>
      <c r="G997" s="11"/>
      <c r="H997" s="11"/>
      <c r="I997" s="11"/>
      <c r="J997" s="11"/>
      <c r="K997" s="11"/>
      <c r="L997" s="11"/>
      <c r="M997" s="11"/>
    </row>
    <row r="998" spans="1:13" ht="14.25" customHeight="1" x14ac:dyDescent="0.2">
      <c r="A998" s="11"/>
      <c r="B998" s="11"/>
      <c r="C998" s="11"/>
      <c r="D998" s="6"/>
      <c r="E998" s="11"/>
      <c r="F998" s="11"/>
      <c r="G998" s="11"/>
      <c r="H998" s="11"/>
      <c r="I998" s="11"/>
      <c r="J998" s="11"/>
      <c r="K998" s="11"/>
      <c r="L998" s="11"/>
      <c r="M998" s="11"/>
    </row>
    <row r="999" spans="1:13" ht="14.25" customHeight="1" x14ac:dyDescent="0.2">
      <c r="A999" s="11"/>
      <c r="B999" s="11"/>
      <c r="C999" s="11"/>
      <c r="D999" s="6"/>
      <c r="E999" s="11"/>
      <c r="F999" s="11"/>
      <c r="G999" s="11"/>
      <c r="H999" s="11"/>
      <c r="I999" s="11"/>
      <c r="J999" s="11"/>
      <c r="K999" s="11"/>
      <c r="L999" s="11"/>
      <c r="M999" s="11"/>
    </row>
    <row r="1000" spans="1:13" ht="14.25" customHeight="1" x14ac:dyDescent="0.2">
      <c r="A1000" s="11"/>
      <c r="B1000" s="11"/>
      <c r="C1000" s="11"/>
      <c r="D1000" s="6"/>
      <c r="E1000" s="11"/>
      <c r="F1000" s="11"/>
      <c r="G1000" s="11"/>
      <c r="H1000" s="11"/>
      <c r="I1000" s="11"/>
      <c r="J1000" s="11"/>
      <c r="K1000" s="11"/>
      <c r="L1000" s="11"/>
      <c r="M1000" s="11"/>
    </row>
  </sheetData>
  <mergeCells count="3">
    <mergeCell ref="B2:K2"/>
    <mergeCell ref="B3:K3"/>
    <mergeCell ref="C13:J13"/>
  </mergeCells>
  <conditionalFormatting sqref="J5">
    <cfRule type="cellIs" dxfId="20" priority="4" operator="greaterThan">
      <formula>80</formula>
    </cfRule>
    <cfRule type="cellIs" dxfId="19" priority="5" operator="between">
      <formula>51</formula>
      <formula>80</formula>
    </cfRule>
    <cfRule type="cellIs" dxfId="18" priority="6" operator="lessThan">
      <formula>51</formula>
    </cfRule>
  </conditionalFormatting>
  <conditionalFormatting sqref="J6">
    <cfRule type="cellIs" dxfId="17" priority="1" stopIfTrue="1" operator="equal">
      <formula>"Por Mejorar"</formula>
    </cfRule>
    <cfRule type="cellIs" dxfId="16" priority="2" stopIfTrue="1" operator="equal">
      <formula>"Medianamente Saludable"</formula>
    </cfRule>
    <cfRule type="cellIs" dxfId="15" priority="3" stopIfTrue="1" operator="equal">
      <formula>"Saludable"</formula>
    </cfRule>
  </conditionalFormatting>
  <conditionalFormatting sqref="J9:J11 J15:J18 J21:J24 J27:J29">
    <cfRule type="cellIs" dxfId="14" priority="7" operator="greaterThan">
      <formula>80</formula>
    </cfRule>
    <cfRule type="cellIs" dxfId="13" priority="8" operator="between">
      <formula>50</formula>
      <formula>81</formula>
    </cfRule>
    <cfRule type="cellIs" dxfId="12" priority="9" operator="lessThan">
      <formula>51</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66"/>
  </sheetPr>
  <dimension ref="A1:Z1002"/>
  <sheetViews>
    <sheetView showGridLines="0" zoomScale="80" zoomScaleNormal="80" workbookViewId="0">
      <selection activeCell="K25" sqref="K25"/>
    </sheetView>
  </sheetViews>
  <sheetFormatPr baseColWidth="10" defaultColWidth="12.625" defaultRowHeight="15" customHeight="1" x14ac:dyDescent="0.2"/>
  <cols>
    <col min="1" max="1" width="2.5" customWidth="1"/>
    <col min="2" max="2" width="5.25" customWidth="1"/>
    <col min="3" max="3" width="73.5" customWidth="1"/>
    <col min="4" max="4" width="7.625" customWidth="1"/>
    <col min="5" max="5" width="9.75" hidden="1" customWidth="1"/>
    <col min="6" max="6" width="15.25" hidden="1" customWidth="1"/>
    <col min="7" max="7" width="15.375" hidden="1" customWidth="1"/>
    <col min="8" max="8" width="20.75" hidden="1" customWidth="1"/>
    <col min="9" max="9" width="22.5" hidden="1" customWidth="1"/>
    <col min="10" max="10" width="18.625" customWidth="1"/>
    <col min="11" max="11" width="6.25" customWidth="1"/>
    <col min="12" max="26" width="10.625" customWidth="1"/>
  </cols>
  <sheetData>
    <row r="1" spans="1:26" ht="14.25" customHeight="1" x14ac:dyDescent="0.2">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57.75" customHeight="1" x14ac:dyDescent="0.2">
      <c r="A2" s="11"/>
      <c r="B2" s="266" t="s">
        <v>278</v>
      </c>
      <c r="C2" s="267"/>
      <c r="D2" s="267"/>
      <c r="E2" s="267"/>
      <c r="F2" s="267"/>
      <c r="G2" s="267"/>
      <c r="H2" s="267"/>
      <c r="I2" s="267"/>
      <c r="J2" s="267"/>
      <c r="K2" s="268"/>
      <c r="L2" s="11"/>
      <c r="M2" s="11"/>
      <c r="N2" s="11"/>
      <c r="O2" s="11"/>
      <c r="P2" s="11"/>
      <c r="Q2" s="11"/>
      <c r="R2" s="11"/>
      <c r="S2" s="11"/>
      <c r="T2" s="11"/>
      <c r="U2" s="11"/>
      <c r="V2" s="11"/>
      <c r="W2" s="11"/>
      <c r="X2" s="11"/>
      <c r="Y2" s="11"/>
      <c r="Z2" s="11"/>
    </row>
    <row r="3" spans="1:26" ht="21" customHeight="1" x14ac:dyDescent="0.2">
      <c r="A3" s="11"/>
      <c r="B3" s="269" t="s">
        <v>302</v>
      </c>
      <c r="C3" s="267"/>
      <c r="D3" s="267"/>
      <c r="E3" s="267"/>
      <c r="F3" s="267"/>
      <c r="G3" s="267"/>
      <c r="H3" s="267"/>
      <c r="I3" s="267"/>
      <c r="J3" s="267"/>
      <c r="K3" s="268"/>
      <c r="L3" s="11"/>
      <c r="M3" s="11"/>
      <c r="N3" s="11"/>
      <c r="O3" s="11"/>
      <c r="P3" s="11"/>
      <c r="Q3" s="11"/>
      <c r="R3" s="11"/>
      <c r="S3" s="11"/>
      <c r="T3" s="11"/>
      <c r="U3" s="11"/>
      <c r="V3" s="11"/>
      <c r="W3" s="11"/>
      <c r="X3" s="11"/>
      <c r="Y3" s="11"/>
      <c r="Z3" s="11"/>
    </row>
    <row r="4" spans="1:26" ht="20.25" customHeight="1" x14ac:dyDescent="0.2">
      <c r="A4" s="11"/>
      <c r="B4" s="53"/>
      <c r="C4" s="54" t="s">
        <v>110</v>
      </c>
      <c r="D4" s="84"/>
      <c r="E4" s="56"/>
      <c r="F4" s="56"/>
      <c r="G4" s="56"/>
      <c r="H4" s="56"/>
      <c r="I4" s="56"/>
      <c r="J4" s="57">
        <f>RESPUESTAS!L3</f>
        <v>130</v>
      </c>
      <c r="K4" s="58"/>
      <c r="L4" s="11"/>
      <c r="M4" s="11"/>
      <c r="N4" s="11"/>
      <c r="O4" s="11"/>
      <c r="P4" s="11"/>
      <c r="Q4" s="11"/>
      <c r="R4" s="11"/>
      <c r="S4" s="11"/>
      <c r="T4" s="11"/>
      <c r="U4" s="11"/>
      <c r="V4" s="11"/>
      <c r="W4" s="11"/>
      <c r="X4" s="11"/>
      <c r="Y4" s="11"/>
      <c r="Z4" s="11"/>
    </row>
    <row r="5" spans="1:26" ht="20.25" customHeight="1" x14ac:dyDescent="0.2">
      <c r="A5" s="11"/>
      <c r="B5" s="53"/>
      <c r="C5" s="59" t="s">
        <v>280</v>
      </c>
      <c r="D5" s="85"/>
      <c r="E5" s="61"/>
      <c r="F5" s="61"/>
      <c r="G5" s="61"/>
      <c r="H5" s="61"/>
      <c r="I5" s="61"/>
      <c r="J5" s="62">
        <f>AVERAGE(J9)</f>
        <v>77.184615384615384</v>
      </c>
      <c r="K5" s="58"/>
      <c r="L5" s="11"/>
      <c r="M5" s="11"/>
      <c r="N5" s="11"/>
      <c r="O5" s="11"/>
      <c r="P5" s="11"/>
      <c r="Q5" s="11"/>
      <c r="R5" s="11"/>
      <c r="S5" s="11"/>
      <c r="T5" s="11"/>
      <c r="U5" s="11"/>
      <c r="V5" s="11"/>
      <c r="W5" s="11"/>
      <c r="X5" s="11"/>
      <c r="Y5" s="11"/>
      <c r="Z5" s="11"/>
    </row>
    <row r="6" spans="1:26" ht="33.75" customHeight="1" x14ac:dyDescent="0.2">
      <c r="A6" s="11"/>
      <c r="B6" s="53"/>
      <c r="C6" s="63" t="s">
        <v>281</v>
      </c>
      <c r="D6" s="86"/>
      <c r="E6" s="65"/>
      <c r="F6" s="65"/>
      <c r="G6" s="65"/>
      <c r="H6" s="65"/>
      <c r="I6" s="65"/>
      <c r="J6" s="66" t="str">
        <f>IF(J5&gt;80, "Saludable", IF(J5&gt;50, "En Proceso de Mejora", "No Saludable"))</f>
        <v>En Proceso de Mejora</v>
      </c>
      <c r="K6" s="58"/>
      <c r="L6" s="11"/>
      <c r="M6" s="11"/>
      <c r="N6" s="11"/>
      <c r="O6" s="11"/>
      <c r="P6" s="11"/>
      <c r="Q6" s="11"/>
      <c r="R6" s="11"/>
      <c r="S6" s="11"/>
      <c r="T6" s="11"/>
      <c r="U6" s="11"/>
      <c r="V6" s="11"/>
      <c r="W6" s="11"/>
      <c r="X6" s="11"/>
      <c r="Y6" s="11"/>
      <c r="Z6" s="11"/>
    </row>
    <row r="7" spans="1:26" ht="14.25" customHeight="1" x14ac:dyDescent="0.2">
      <c r="A7" s="11"/>
      <c r="B7" s="53"/>
      <c r="C7" s="65"/>
      <c r="D7" s="65"/>
      <c r="E7" s="65"/>
      <c r="F7" s="65"/>
      <c r="G7" s="65"/>
      <c r="H7" s="65"/>
      <c r="I7" s="65"/>
      <c r="J7" s="65"/>
      <c r="K7" s="58"/>
      <c r="L7" s="11" t="s">
        <v>303</v>
      </c>
      <c r="M7" s="11"/>
      <c r="N7" s="11"/>
      <c r="O7" s="11"/>
      <c r="P7" s="11"/>
      <c r="Q7" s="11"/>
      <c r="R7" s="11"/>
      <c r="S7" s="11"/>
      <c r="T7" s="11"/>
      <c r="U7" s="11"/>
      <c r="V7" s="11"/>
      <c r="W7" s="11"/>
      <c r="X7" s="11"/>
      <c r="Y7" s="11"/>
      <c r="Z7" s="11"/>
    </row>
    <row r="8" spans="1:26" ht="14.25" customHeight="1" x14ac:dyDescent="0.2">
      <c r="A8" s="11"/>
      <c r="B8" s="53"/>
      <c r="C8" s="67" t="s">
        <v>2</v>
      </c>
      <c r="D8" s="67" t="s">
        <v>282</v>
      </c>
      <c r="E8" s="67" t="s">
        <v>283</v>
      </c>
      <c r="F8" s="67" t="s">
        <v>284</v>
      </c>
      <c r="G8" s="67" t="s">
        <v>285</v>
      </c>
      <c r="H8" s="67" t="s">
        <v>286</v>
      </c>
      <c r="I8" s="67" t="s">
        <v>287</v>
      </c>
      <c r="J8" s="69" t="s">
        <v>280</v>
      </c>
      <c r="K8" s="58"/>
      <c r="L8" s="11"/>
      <c r="M8" s="11"/>
      <c r="N8" s="11"/>
      <c r="O8" s="11"/>
      <c r="P8" s="11"/>
      <c r="Q8" s="11"/>
      <c r="R8" s="11"/>
      <c r="S8" s="11"/>
      <c r="T8" s="11"/>
      <c r="U8" s="11"/>
      <c r="V8" s="11"/>
      <c r="W8" s="11"/>
      <c r="X8" s="11"/>
      <c r="Y8" s="11"/>
      <c r="Z8" s="11"/>
    </row>
    <row r="9" spans="1:26" ht="21" customHeight="1" x14ac:dyDescent="0.2">
      <c r="A9" s="11"/>
      <c r="B9" s="53"/>
      <c r="C9" s="70" t="s">
        <v>304</v>
      </c>
      <c r="D9" s="19">
        <v>100</v>
      </c>
      <c r="E9" s="71">
        <f>+SUM(E13:E18)</f>
        <v>6</v>
      </c>
      <c r="F9" s="72">
        <f t="shared" ref="F9:G9" si="0">SUM(H13:H18)</f>
        <v>1300</v>
      </c>
      <c r="G9" s="72">
        <f t="shared" si="0"/>
        <v>1003.4000000000001</v>
      </c>
      <c r="H9" s="72">
        <f>IF(ISERROR(+D9*F9/100),0,ROUND(+D9*F9/100,2))</f>
        <v>1300</v>
      </c>
      <c r="I9" s="72">
        <f>IF(ISERROR(G9*H9/F9),0,ROUND(G9*H9/F9,2))</f>
        <v>1003.4</v>
      </c>
      <c r="J9" s="73">
        <f>IF(ISERROR(I9*100/H9), 0, +I9*100/H9)</f>
        <v>77.184615384615384</v>
      </c>
      <c r="K9" s="58"/>
      <c r="L9" s="11"/>
      <c r="M9" s="11"/>
      <c r="N9" s="11"/>
      <c r="O9" s="11"/>
      <c r="P9" s="11"/>
      <c r="Q9" s="11"/>
      <c r="R9" s="11"/>
      <c r="S9" s="11"/>
      <c r="T9" s="11"/>
      <c r="U9" s="11"/>
      <c r="V9" s="11"/>
      <c r="W9" s="11"/>
      <c r="X9" s="11"/>
      <c r="Y9" s="11"/>
      <c r="Z9" s="11"/>
    </row>
    <row r="10" spans="1:26" ht="14.25" customHeight="1" x14ac:dyDescent="0.2">
      <c r="A10" s="11"/>
      <c r="B10" s="53"/>
      <c r="C10" s="65"/>
      <c r="D10" s="65"/>
      <c r="E10" s="65"/>
      <c r="F10" s="65"/>
      <c r="G10" s="65"/>
      <c r="H10" s="65"/>
      <c r="I10" s="65"/>
      <c r="J10" s="65"/>
      <c r="K10" s="58"/>
      <c r="L10" s="11"/>
      <c r="M10" s="11"/>
      <c r="N10" s="11"/>
      <c r="O10" s="11"/>
      <c r="P10" s="11"/>
      <c r="Q10" s="11"/>
      <c r="R10" s="11"/>
      <c r="S10" s="11"/>
      <c r="T10" s="11"/>
      <c r="U10" s="11"/>
      <c r="V10" s="11"/>
      <c r="W10" s="11"/>
      <c r="X10" s="11"/>
      <c r="Y10" s="11"/>
      <c r="Z10" s="11"/>
    </row>
    <row r="11" spans="1:26" ht="14.25" customHeight="1" x14ac:dyDescent="0.2">
      <c r="A11" s="11"/>
      <c r="B11" s="53"/>
      <c r="C11" s="270" t="s">
        <v>291</v>
      </c>
      <c r="D11" s="271"/>
      <c r="E11" s="271"/>
      <c r="F11" s="271"/>
      <c r="G11" s="271"/>
      <c r="H11" s="271"/>
      <c r="I11" s="271"/>
      <c r="J11" s="252"/>
      <c r="K11" s="58"/>
      <c r="L11" s="11"/>
      <c r="M11" s="11"/>
      <c r="N11" s="11"/>
      <c r="O11" s="11"/>
      <c r="P11" s="11"/>
      <c r="Q11" s="11"/>
      <c r="R11" s="11"/>
      <c r="S11" s="11"/>
      <c r="T11" s="11"/>
      <c r="U11" s="11"/>
      <c r="V11" s="11"/>
      <c r="W11" s="11"/>
      <c r="X11" s="11"/>
      <c r="Y11" s="11"/>
      <c r="Z11" s="11"/>
    </row>
    <row r="12" spans="1:26" ht="14.25" customHeight="1" x14ac:dyDescent="0.2">
      <c r="A12" s="11"/>
      <c r="B12" s="53"/>
      <c r="C12" s="67" t="s">
        <v>305</v>
      </c>
      <c r="D12" s="68" t="s">
        <v>282</v>
      </c>
      <c r="E12" s="68" t="s">
        <v>283</v>
      </c>
      <c r="F12" s="68" t="s">
        <v>284</v>
      </c>
      <c r="G12" s="68" t="s">
        <v>292</v>
      </c>
      <c r="H12" s="68" t="s">
        <v>286</v>
      </c>
      <c r="I12" s="68" t="s">
        <v>293</v>
      </c>
      <c r="J12" s="69" t="s">
        <v>280</v>
      </c>
      <c r="K12" s="58"/>
      <c r="L12" s="11"/>
      <c r="M12" s="11"/>
      <c r="N12" s="11"/>
      <c r="O12" s="11"/>
      <c r="P12" s="11"/>
      <c r="Q12" s="11"/>
      <c r="R12" s="11"/>
      <c r="S12" s="11"/>
      <c r="T12" s="11"/>
      <c r="U12" s="11"/>
      <c r="V12" s="11"/>
      <c r="W12" s="11"/>
      <c r="X12" s="11"/>
      <c r="Y12" s="11"/>
      <c r="Z12" s="11"/>
    </row>
    <row r="13" spans="1:26" ht="23.25" customHeight="1" x14ac:dyDescent="0.2">
      <c r="A13" s="11"/>
      <c r="B13" s="53"/>
      <c r="C13" s="87" t="str">
        <f>RESPUESTAS!AV6</f>
        <v>¿Qué tan satisfecho estás de trabajar en DACHASAC?</v>
      </c>
      <c r="D13" s="71">
        <v>20</v>
      </c>
      <c r="E13" s="71">
        <v>1</v>
      </c>
      <c r="F13" s="19">
        <f>E13*10*$J$4</f>
        <v>1300</v>
      </c>
      <c r="G13" s="19">
        <f>RESPUESTAS!D161</f>
        <v>985</v>
      </c>
      <c r="H13" s="72">
        <f t="shared" ref="H13:H18" si="1">IF(E13=0,0,IF(ISERROR(+D13*F13/100),0,+D13*F13/100))</f>
        <v>260</v>
      </c>
      <c r="I13" s="72">
        <f t="shared" ref="I13:I18" si="2">IF(ISERROR(+G13*H13/F13),0,+G13*H13/F13)</f>
        <v>197</v>
      </c>
      <c r="J13" s="75">
        <f t="shared" ref="J13:J18" si="3">IF(ISERROR(I13*100/H13), 0, +I13*100/H13)</f>
        <v>75.769230769230774</v>
      </c>
      <c r="K13" s="58"/>
      <c r="L13" s="11"/>
      <c r="M13" s="11"/>
      <c r="N13" s="11"/>
      <c r="O13" s="11"/>
      <c r="P13" s="11"/>
      <c r="Q13" s="11"/>
      <c r="R13" s="11"/>
      <c r="S13" s="11"/>
      <c r="T13" s="11"/>
      <c r="U13" s="11"/>
      <c r="V13" s="11"/>
      <c r="W13" s="11"/>
      <c r="X13" s="11"/>
      <c r="Y13" s="11"/>
      <c r="Z13" s="11"/>
    </row>
    <row r="14" spans="1:26" ht="23.25" customHeight="1" x14ac:dyDescent="0.2">
      <c r="A14" s="11"/>
      <c r="B14" s="53"/>
      <c r="C14" s="87" t="str">
        <f>RESPUESTAS!AW6</f>
        <v>¿Qué tan cómodo se siente al darle sugerencias o comentarios a su jefe inmediato?</v>
      </c>
      <c r="D14" s="71">
        <v>15</v>
      </c>
      <c r="E14" s="71">
        <v>1</v>
      </c>
      <c r="F14" s="19">
        <f t="shared" ref="F14:F18" si="4">E14*10*$J$4</f>
        <v>1300</v>
      </c>
      <c r="G14" s="19">
        <f>RESPUESTAS!E161</f>
        <v>998</v>
      </c>
      <c r="H14" s="72">
        <f t="shared" si="1"/>
        <v>195</v>
      </c>
      <c r="I14" s="72">
        <f t="shared" si="2"/>
        <v>149.69999999999999</v>
      </c>
      <c r="J14" s="75">
        <f t="shared" si="3"/>
        <v>76.769230769230759</v>
      </c>
      <c r="K14" s="58"/>
      <c r="L14" s="11"/>
      <c r="M14" s="11"/>
      <c r="N14" s="11"/>
      <c r="O14" s="11"/>
      <c r="P14" s="11"/>
      <c r="Q14" s="11"/>
      <c r="R14" s="11"/>
      <c r="S14" s="11"/>
      <c r="T14" s="11"/>
      <c r="U14" s="11"/>
      <c r="V14" s="11"/>
      <c r="W14" s="11"/>
      <c r="X14" s="11"/>
      <c r="Y14" s="11"/>
      <c r="Z14" s="11"/>
    </row>
    <row r="15" spans="1:26" ht="23.25" customHeight="1" x14ac:dyDescent="0.2">
      <c r="A15" s="11"/>
      <c r="B15" s="53"/>
      <c r="C15" s="87" t="str">
        <f>RESPUESTAS!AX6</f>
        <v>¿Considera que todo el personal de su área se encuentra enfocada en una meta común?</v>
      </c>
      <c r="D15" s="71">
        <v>15</v>
      </c>
      <c r="E15" s="71">
        <v>1</v>
      </c>
      <c r="F15" s="19">
        <f t="shared" si="4"/>
        <v>1300</v>
      </c>
      <c r="G15" s="19">
        <f>RESPUESTAS!F161</f>
        <v>1040</v>
      </c>
      <c r="H15" s="72">
        <f t="shared" si="1"/>
        <v>195</v>
      </c>
      <c r="I15" s="72">
        <f t="shared" si="2"/>
        <v>156</v>
      </c>
      <c r="J15" s="75">
        <f t="shared" si="3"/>
        <v>80</v>
      </c>
      <c r="K15" s="58"/>
      <c r="L15" s="11"/>
      <c r="M15" s="11"/>
      <c r="N15" s="11"/>
      <c r="O15" s="11"/>
      <c r="P15" s="11"/>
      <c r="Q15" s="11"/>
      <c r="R15" s="11"/>
      <c r="S15" s="11"/>
      <c r="T15" s="11"/>
      <c r="U15" s="11"/>
      <c r="V15" s="11"/>
      <c r="W15" s="11"/>
      <c r="X15" s="11"/>
      <c r="Y15" s="11"/>
      <c r="Z15" s="11"/>
    </row>
    <row r="16" spans="1:26" ht="23.25" customHeight="1" x14ac:dyDescent="0.2">
      <c r="A16" s="11"/>
      <c r="B16" s="53"/>
      <c r="C16" s="87" t="str">
        <f>RESPUESTAS!AY6</f>
        <v>¿Considera que tiene autonomía para llevar a cabo su trabajo?</v>
      </c>
      <c r="D16" s="71">
        <v>15</v>
      </c>
      <c r="E16" s="71">
        <v>1</v>
      </c>
      <c r="F16" s="19">
        <f t="shared" si="4"/>
        <v>1300</v>
      </c>
      <c r="G16" s="19">
        <f>RESPUESTAS!G161</f>
        <v>1137</v>
      </c>
      <c r="H16" s="72">
        <f t="shared" si="1"/>
        <v>195</v>
      </c>
      <c r="I16" s="72">
        <f t="shared" si="2"/>
        <v>170.55</v>
      </c>
      <c r="J16" s="75">
        <f t="shared" si="3"/>
        <v>87.461538461538467</v>
      </c>
      <c r="K16" s="58"/>
      <c r="L16" s="11"/>
      <c r="M16" s="11"/>
      <c r="N16" s="11"/>
      <c r="O16" s="11"/>
      <c r="P16" s="11"/>
      <c r="Q16" s="11"/>
      <c r="R16" s="11"/>
      <c r="S16" s="11"/>
      <c r="T16" s="11"/>
      <c r="U16" s="11"/>
      <c r="V16" s="11"/>
      <c r="W16" s="11"/>
      <c r="X16" s="11"/>
      <c r="Y16" s="11"/>
      <c r="Z16" s="11"/>
    </row>
    <row r="17" spans="1:26" ht="23.25" customHeight="1" x14ac:dyDescent="0.2">
      <c r="A17" s="11"/>
      <c r="B17" s="53"/>
      <c r="C17" s="87" t="str">
        <f>RESPUESTAS!AZ6</f>
        <v>¿Considera que tiene la oportunidad de desarrollarse profesionalmente en DACHASAC?</v>
      </c>
      <c r="D17" s="71">
        <v>20</v>
      </c>
      <c r="E17" s="71">
        <v>1</v>
      </c>
      <c r="F17" s="19">
        <f t="shared" si="4"/>
        <v>1300</v>
      </c>
      <c r="G17" s="19">
        <f>RESPUESTAS!H161</f>
        <v>936</v>
      </c>
      <c r="H17" s="72">
        <f t="shared" si="1"/>
        <v>260</v>
      </c>
      <c r="I17" s="72">
        <f t="shared" si="2"/>
        <v>187.2</v>
      </c>
      <c r="J17" s="75">
        <f t="shared" si="3"/>
        <v>72</v>
      </c>
      <c r="K17" s="58"/>
      <c r="L17" s="11"/>
      <c r="M17" s="11"/>
      <c r="N17" s="11"/>
      <c r="O17" s="11"/>
      <c r="P17" s="11"/>
      <c r="Q17" s="11"/>
      <c r="R17" s="11"/>
      <c r="S17" s="11"/>
      <c r="T17" s="11"/>
      <c r="U17" s="11"/>
      <c r="V17" s="11"/>
      <c r="W17" s="11"/>
      <c r="X17" s="11"/>
      <c r="Y17" s="11"/>
      <c r="Z17" s="11"/>
    </row>
    <row r="18" spans="1:26" ht="23.25" customHeight="1" x14ac:dyDescent="0.2">
      <c r="A18" s="11"/>
      <c r="B18" s="53"/>
      <c r="C18" s="87" t="str">
        <f>RESPUESTAS!BA6</f>
        <v>¿Qué tan probable es que usted recomiende a sus amigos o colegas el trabajar para DACHASAC?</v>
      </c>
      <c r="D18" s="71">
        <v>15</v>
      </c>
      <c r="E18" s="71">
        <v>1</v>
      </c>
      <c r="F18" s="19">
        <f t="shared" si="4"/>
        <v>1300</v>
      </c>
      <c r="G18" s="19">
        <f>RESPUESTAS!I161</f>
        <v>953</v>
      </c>
      <c r="H18" s="72">
        <f t="shared" si="1"/>
        <v>195</v>
      </c>
      <c r="I18" s="72">
        <f t="shared" si="2"/>
        <v>142.94999999999999</v>
      </c>
      <c r="J18" s="75">
        <f t="shared" si="3"/>
        <v>73.307692307692292</v>
      </c>
      <c r="K18" s="58"/>
      <c r="L18" s="11"/>
      <c r="M18" s="11"/>
      <c r="N18" s="11"/>
      <c r="O18" s="11"/>
      <c r="P18" s="11"/>
      <c r="Q18" s="11"/>
      <c r="R18" s="11"/>
      <c r="S18" s="11"/>
      <c r="T18" s="11"/>
      <c r="U18" s="11"/>
      <c r="V18" s="11"/>
      <c r="W18" s="11"/>
      <c r="X18" s="11"/>
      <c r="Y18" s="11"/>
      <c r="Z18" s="11"/>
    </row>
    <row r="19" spans="1:26" ht="14.25" customHeight="1" x14ac:dyDescent="0.2">
      <c r="A19" s="11"/>
      <c r="B19" s="53"/>
      <c r="C19" s="65"/>
      <c r="D19" s="77"/>
      <c r="E19" s="77"/>
      <c r="F19" s="65"/>
      <c r="G19" s="65"/>
      <c r="H19" s="65"/>
      <c r="I19" s="65"/>
      <c r="J19" s="65"/>
      <c r="K19" s="58"/>
      <c r="L19" s="11"/>
      <c r="M19" s="11"/>
      <c r="N19" s="11"/>
      <c r="O19" s="11"/>
      <c r="P19" s="11"/>
      <c r="Q19" s="11"/>
      <c r="R19" s="11"/>
      <c r="S19" s="11"/>
      <c r="T19" s="11"/>
      <c r="U19" s="11"/>
      <c r="V19" s="11"/>
      <c r="W19" s="11"/>
      <c r="X19" s="11"/>
      <c r="Y19" s="11"/>
      <c r="Z19" s="11"/>
    </row>
    <row r="20" spans="1:26" ht="14.25" customHeight="1" x14ac:dyDescent="0.2">
      <c r="A20" s="11"/>
      <c r="B20" s="78"/>
      <c r="C20" s="79"/>
      <c r="D20" s="81"/>
      <c r="E20" s="81"/>
      <c r="F20" s="79"/>
      <c r="G20" s="79"/>
      <c r="H20" s="79"/>
      <c r="I20" s="79"/>
      <c r="J20" s="79"/>
      <c r="K20" s="82"/>
      <c r="L20" s="11"/>
      <c r="M20" s="11"/>
      <c r="N20" s="11"/>
      <c r="O20" s="11"/>
      <c r="P20" s="11"/>
      <c r="Q20" s="11"/>
      <c r="R20" s="11"/>
      <c r="S20" s="11"/>
      <c r="T20" s="11"/>
      <c r="U20" s="11"/>
      <c r="V20" s="11"/>
      <c r="W20" s="11"/>
      <c r="X20" s="11"/>
      <c r="Y20" s="11"/>
      <c r="Z20" s="11"/>
    </row>
    <row r="21" spans="1:26" ht="14.25" customHeight="1"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25" customHeight="1"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25" customHeight="1"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25" customHeight="1"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25" customHeight="1" x14ac:dyDescent="0.2">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25" customHeight="1" x14ac:dyDescent="0.2">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2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25" customHeight="1"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25" customHeight="1" x14ac:dyDescent="0.2">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2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25" customHeight="1"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25" customHeight="1"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2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25" customHeight="1"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2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2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25" customHeight="1" x14ac:dyDescent="0.2">
      <c r="A37" s="11"/>
      <c r="B37" s="11"/>
      <c r="C37" s="83"/>
      <c r="D37" s="11"/>
      <c r="E37" s="11"/>
      <c r="F37" s="11"/>
      <c r="G37" s="11"/>
      <c r="H37" s="11"/>
      <c r="I37" s="11"/>
      <c r="J37" s="11"/>
      <c r="K37" s="11"/>
      <c r="L37" s="11"/>
      <c r="M37" s="11"/>
      <c r="N37" s="11"/>
      <c r="O37" s="11"/>
      <c r="P37" s="11"/>
      <c r="Q37" s="11"/>
      <c r="R37" s="11"/>
      <c r="S37" s="11"/>
      <c r="T37" s="11"/>
      <c r="U37" s="11"/>
      <c r="V37" s="11"/>
      <c r="W37" s="11"/>
      <c r="X37" s="11"/>
      <c r="Y37" s="11"/>
      <c r="Z37" s="11"/>
    </row>
    <row r="38" spans="1:26" ht="14.25" customHeight="1" x14ac:dyDescent="0.2">
      <c r="A38" s="11"/>
      <c r="B38" s="11"/>
      <c r="C38" s="83"/>
      <c r="D38" s="11"/>
      <c r="E38" s="11"/>
      <c r="F38" s="11"/>
      <c r="G38" s="11"/>
      <c r="H38" s="11"/>
      <c r="I38" s="11"/>
      <c r="J38" s="11"/>
      <c r="K38" s="11"/>
      <c r="L38" s="11"/>
      <c r="M38" s="11"/>
      <c r="N38" s="11"/>
      <c r="O38" s="11"/>
      <c r="P38" s="11"/>
      <c r="Q38" s="11"/>
      <c r="R38" s="11"/>
      <c r="S38" s="11"/>
      <c r="T38" s="11"/>
      <c r="U38" s="11"/>
      <c r="V38" s="11"/>
      <c r="W38" s="11"/>
      <c r="X38" s="11"/>
      <c r="Y38" s="11"/>
      <c r="Z38" s="11"/>
    </row>
    <row r="39" spans="1:26" ht="14.25" customHeight="1"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2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2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2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2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2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25" customHeight="1"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25" customHeight="1"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2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25" customHeight="1"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25" customHeight="1"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25" customHeight="1"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25" customHeight="1" x14ac:dyDescent="0.2">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25" customHeight="1" x14ac:dyDescent="0.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25" customHeight="1"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25" customHeight="1"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25" customHeight="1" x14ac:dyDescent="0.2">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25" customHeight="1"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2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2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2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2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2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2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2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2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2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2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2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2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2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2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2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2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2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2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2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2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2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2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2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2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2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2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2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2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2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2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2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2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2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2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2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2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2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2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2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2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2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2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2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2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2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2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2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2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2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2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2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2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2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2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2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2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2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2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2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2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2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2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2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2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2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2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2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2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2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2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2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2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2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2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2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2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2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2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2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2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2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2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2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2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2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2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2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2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2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2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2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2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2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2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2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2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2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2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2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2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2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2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2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2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2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2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2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2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2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2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2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2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2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2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2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2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2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2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2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2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2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2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2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2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2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2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2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2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2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2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2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2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2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2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2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2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2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2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2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2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2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2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2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2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2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2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2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2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2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2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2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2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2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2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2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2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2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2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2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2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2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2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2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2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2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2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2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2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2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2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2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2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2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2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2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2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2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2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2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2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2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2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2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2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2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2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2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2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2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2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2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2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2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2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2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2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2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2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2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2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2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25" customHeight="1"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25" customHeight="1"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25" customHeight="1"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25" customHeight="1"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25" customHeight="1"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25" customHeight="1"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25" customHeight="1"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25" customHeight="1"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25" customHeight="1"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25" customHeight="1"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25" customHeight="1"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25" customHeight="1"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25" customHeight="1"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25" customHeight="1"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25" customHeight="1"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25" customHeight="1"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25" customHeight="1"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25" customHeight="1"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25" customHeight="1"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25" customHeight="1"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25" customHeight="1"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25" customHeight="1"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25" customHeight="1"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25" customHeight="1"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25" customHeight="1"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25" customHeight="1"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25" customHeight="1"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25" customHeight="1"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25" customHeight="1"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25" customHeight="1"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25" customHeight="1"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25" customHeight="1"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25" customHeight="1"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25" customHeight="1"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25" customHeight="1"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25" customHeight="1"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25" customHeight="1"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25" customHeight="1"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25" customHeight="1"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25" customHeight="1"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25" customHeight="1"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25" customHeight="1"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25" customHeight="1"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25" customHeight="1"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25" customHeight="1"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25" customHeight="1"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25" customHeight="1"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25" customHeight="1"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25" customHeight="1"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25" customHeight="1"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25" customHeight="1"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25" customHeight="1"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25" customHeight="1"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25" customHeight="1"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25" customHeight="1"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25" customHeight="1"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25" customHeight="1"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25" customHeight="1"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25" customHeight="1"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25" customHeight="1"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25" customHeight="1"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25" customHeight="1"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25" customHeight="1"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25" customHeight="1"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25" customHeight="1"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25" customHeight="1"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25" customHeight="1"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25" customHeight="1"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25" customHeight="1"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25" customHeight="1"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25" customHeight="1"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25" customHeight="1"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25" customHeight="1"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25" customHeight="1"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25" customHeight="1"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25" customHeight="1"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25" customHeight="1"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25" customHeight="1"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25" customHeight="1"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2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2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2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2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2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2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2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2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2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2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2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2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2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2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2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2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2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2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2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2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2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2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2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2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2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2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2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2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2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2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2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2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2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2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2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2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2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2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2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2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2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2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2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2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2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2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2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2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2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2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2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2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2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2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2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2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2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2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2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2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2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2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2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2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2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2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2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2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2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2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2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2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2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2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2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2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2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2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2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2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2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2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2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2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2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2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2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2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2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2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2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2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2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2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2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2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2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2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2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2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2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2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2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2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2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2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2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2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2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2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2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2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2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2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2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2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2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2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2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2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2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2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2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2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2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2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2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2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2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2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2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2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2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2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2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2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2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2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2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2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2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2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2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2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2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2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2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2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2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2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2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2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2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2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2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2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2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2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2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2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2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2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2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2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2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2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2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2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2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2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2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2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2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2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2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2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2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2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2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2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2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2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2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2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2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2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2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2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2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2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2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2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2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2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2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2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2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2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2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2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2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2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2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2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2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2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2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2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2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2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2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2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2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2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2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2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2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2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2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2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2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2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2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2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2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2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2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2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2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2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2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2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2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2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2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2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2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2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2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2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2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2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2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2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2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2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2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2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2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2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2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2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2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2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2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2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2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2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2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2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2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2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2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2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2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2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2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2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2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2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2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2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2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2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2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2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2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2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2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2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2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2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2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2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2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2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2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2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2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2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2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2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2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2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2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2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2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2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2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2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2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2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2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2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2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2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2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2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2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2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2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2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2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2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2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2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2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2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2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2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2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2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2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2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2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2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2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2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2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2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2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2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2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2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2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2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2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2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2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2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2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2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2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2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2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2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2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2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2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2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2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2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2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2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2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2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2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2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2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2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2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2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2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2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2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2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2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2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2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2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2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2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2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2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2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2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2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2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2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2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2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2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2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2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2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2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2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2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2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2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2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2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2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2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2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2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2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2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2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2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2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2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2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2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2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2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2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2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2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2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2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2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2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2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2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2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2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2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2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2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2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2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2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2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2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2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2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2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2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2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2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2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2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2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2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2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2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2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2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2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2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2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2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2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2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2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2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2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2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2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2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2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2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2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2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2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2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2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2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2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2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2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2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2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2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2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2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2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2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2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2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2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2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2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2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2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2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2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2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2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2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2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2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2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2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2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2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2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2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2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2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2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2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2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2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2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2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2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2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2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2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2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2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2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2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2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2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2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2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2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2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2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2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2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2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2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2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2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2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2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2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2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2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2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2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2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2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2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2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2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2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2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2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2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2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2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2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2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2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2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2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2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2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2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2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2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2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2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2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2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2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2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2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2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2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2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2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2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2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2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2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2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2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2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2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2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2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2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2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2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2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2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2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2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2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2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2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2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2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2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2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2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2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2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2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2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2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2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2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2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2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2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2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2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2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2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2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2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2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2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2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2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2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2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2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2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2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2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2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2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2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2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2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2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2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2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2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2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2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2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2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2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2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2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2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2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2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2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2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2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2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2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2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2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2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2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2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2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2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2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2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2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2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2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2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2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2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2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2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2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2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2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2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2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2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2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2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2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2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2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2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2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2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2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4.25" customHeight="1" x14ac:dyDescent="0.2">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ht="14.25" customHeight="1" x14ac:dyDescent="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sheetData>
  <mergeCells count="3">
    <mergeCell ref="B2:K2"/>
    <mergeCell ref="B3:K3"/>
    <mergeCell ref="C11:J11"/>
  </mergeCells>
  <conditionalFormatting sqref="J5">
    <cfRule type="cellIs" dxfId="11" priority="4" operator="greaterThan">
      <formula>80</formula>
    </cfRule>
    <cfRule type="cellIs" dxfId="10" priority="5" operator="between">
      <formula>51</formula>
      <formula>80</formula>
    </cfRule>
    <cfRule type="cellIs" dxfId="9" priority="6" operator="lessThan">
      <formula>51</formula>
    </cfRule>
  </conditionalFormatting>
  <conditionalFormatting sqref="J6">
    <cfRule type="cellIs" dxfId="8" priority="1" stopIfTrue="1" operator="equal">
      <formula>"Por Mejorar"</formula>
    </cfRule>
    <cfRule type="cellIs" dxfId="7" priority="2" stopIfTrue="1" operator="equal">
      <formula>"Medianamente Saludable"</formula>
    </cfRule>
    <cfRule type="cellIs" dxfId="6" priority="3" stopIfTrue="1" operator="equal">
      <formula>"Saludable"</formula>
    </cfRule>
  </conditionalFormatting>
  <conditionalFormatting sqref="J9 J13:J18">
    <cfRule type="cellIs" dxfId="5" priority="7" operator="greaterThan">
      <formula>80</formula>
    </cfRule>
    <cfRule type="cellIs" dxfId="4" priority="8" operator="between">
      <formula>50</formula>
      <formula>81</formula>
    </cfRule>
    <cfRule type="cellIs" dxfId="3" priority="9" operator="lessThan">
      <formula>51</formula>
    </cfRule>
  </conditionalFormatting>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1000"/>
  <sheetViews>
    <sheetView showGridLines="0" workbookViewId="0">
      <selection activeCell="C5" sqref="C5"/>
    </sheetView>
  </sheetViews>
  <sheetFormatPr baseColWidth="10" defaultColWidth="12.625" defaultRowHeight="15" customHeight="1" x14ac:dyDescent="0.2"/>
  <cols>
    <col min="1" max="1" width="3.375" customWidth="1"/>
    <col min="2" max="2" width="61.75" customWidth="1"/>
    <col min="3" max="5" width="20.75" customWidth="1"/>
    <col min="6" max="26" width="10.625" customWidth="1"/>
  </cols>
  <sheetData>
    <row r="1" spans="1:26" ht="59.25" customHeight="1" x14ac:dyDescent="0.2">
      <c r="A1" s="11"/>
    </row>
    <row r="2" spans="1:26" ht="51" customHeight="1" x14ac:dyDescent="0.2">
      <c r="A2" s="88"/>
      <c r="B2" s="89" t="s">
        <v>306</v>
      </c>
      <c r="C2" s="90" t="s">
        <v>307</v>
      </c>
      <c r="D2" s="90" t="s">
        <v>308</v>
      </c>
      <c r="E2" s="91" t="s">
        <v>309</v>
      </c>
      <c r="F2" s="88"/>
      <c r="G2" s="88"/>
      <c r="H2" s="88"/>
      <c r="I2" s="88"/>
      <c r="J2" s="88"/>
      <c r="K2" s="88"/>
      <c r="L2" s="88"/>
      <c r="M2" s="88"/>
      <c r="N2" s="88"/>
      <c r="O2" s="88"/>
      <c r="P2" s="88"/>
      <c r="Q2" s="88"/>
      <c r="R2" s="88"/>
      <c r="S2" s="88"/>
      <c r="T2" s="88"/>
      <c r="U2" s="88"/>
      <c r="V2" s="88"/>
      <c r="W2" s="88"/>
      <c r="X2" s="88"/>
      <c r="Y2" s="88"/>
      <c r="Z2" s="88"/>
    </row>
    <row r="3" spans="1:26" ht="30.75" customHeight="1" x14ac:dyDescent="0.35">
      <c r="A3" s="6"/>
      <c r="B3" s="92">
        <v>44713</v>
      </c>
      <c r="C3" s="93"/>
      <c r="D3" s="94"/>
      <c r="E3" s="95"/>
      <c r="F3" s="6"/>
      <c r="G3" s="6"/>
      <c r="H3" s="6"/>
      <c r="I3" s="6"/>
      <c r="J3" s="6"/>
      <c r="K3" s="6"/>
      <c r="L3" s="6"/>
      <c r="M3" s="6"/>
      <c r="N3" s="6"/>
      <c r="O3" s="6"/>
      <c r="P3" s="6"/>
      <c r="Q3" s="6"/>
      <c r="R3" s="6"/>
      <c r="S3" s="6"/>
      <c r="T3" s="6"/>
      <c r="U3" s="6"/>
      <c r="V3" s="6"/>
      <c r="W3" s="6"/>
      <c r="X3" s="6"/>
      <c r="Y3" s="6"/>
      <c r="Z3" s="6"/>
    </row>
    <row r="4" spans="1:26" ht="30.75" customHeight="1" x14ac:dyDescent="0.35">
      <c r="A4" s="6"/>
      <c r="B4" s="96">
        <v>44531</v>
      </c>
      <c r="C4" s="93"/>
      <c r="D4" s="94"/>
      <c r="E4" s="95"/>
      <c r="F4" s="6"/>
      <c r="G4" s="6"/>
      <c r="H4" s="6"/>
      <c r="I4" s="6"/>
      <c r="J4" s="6"/>
      <c r="K4" s="6"/>
      <c r="L4" s="6"/>
      <c r="M4" s="6"/>
      <c r="N4" s="6"/>
      <c r="O4" s="6"/>
      <c r="P4" s="6"/>
      <c r="Q4" s="6"/>
      <c r="R4" s="6"/>
      <c r="S4" s="6"/>
      <c r="T4" s="6"/>
      <c r="U4" s="6"/>
      <c r="V4" s="6"/>
      <c r="W4" s="6"/>
      <c r="X4" s="6"/>
      <c r="Y4" s="6"/>
      <c r="Z4" s="6"/>
    </row>
    <row r="5" spans="1:26" ht="30.75" customHeight="1" x14ac:dyDescent="0.35">
      <c r="A5" s="6"/>
      <c r="B5" s="97">
        <v>44348</v>
      </c>
      <c r="C5" s="98"/>
      <c r="D5" s="98"/>
      <c r="E5" s="99"/>
      <c r="F5" s="6"/>
      <c r="G5" s="6"/>
      <c r="H5" s="6"/>
      <c r="I5" s="6"/>
      <c r="J5" s="6"/>
      <c r="K5" s="6"/>
      <c r="L5" s="6"/>
      <c r="M5" s="6"/>
      <c r="N5" s="6"/>
      <c r="O5" s="6"/>
      <c r="P5" s="6"/>
      <c r="Q5" s="6"/>
      <c r="R5" s="6"/>
      <c r="S5" s="6"/>
      <c r="T5" s="6"/>
      <c r="U5" s="6"/>
      <c r="V5" s="6"/>
      <c r="W5" s="6"/>
      <c r="X5" s="6"/>
      <c r="Y5" s="6"/>
      <c r="Z5" s="6"/>
    </row>
    <row r="6" spans="1:26" ht="14.25" customHeight="1" x14ac:dyDescent="0.2">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14.25" customHeight="1" x14ac:dyDescent="0.2">
      <c r="A7" s="11"/>
      <c r="F7" s="11"/>
    </row>
    <row r="8" spans="1:26" ht="14.25" customHeight="1" x14ac:dyDescent="0.2">
      <c r="A8" s="11"/>
      <c r="F8" s="11"/>
    </row>
    <row r="9" spans="1:26" ht="14.25" customHeight="1" x14ac:dyDescent="0.2">
      <c r="A9" s="11"/>
      <c r="F9" s="11"/>
    </row>
    <row r="10" spans="1:26" ht="14.25" customHeight="1" x14ac:dyDescent="0.2">
      <c r="A10" s="11"/>
      <c r="F10" s="11"/>
    </row>
    <row r="11" spans="1:26" ht="14.25" customHeight="1" x14ac:dyDescent="0.2">
      <c r="A11" s="11"/>
      <c r="F11" s="11"/>
    </row>
    <row r="12" spans="1:26" ht="14.25" customHeight="1" x14ac:dyDescent="0.2">
      <c r="A12" s="11"/>
      <c r="F12" s="11"/>
    </row>
    <row r="13" spans="1:26" ht="14.25" customHeight="1" x14ac:dyDescent="0.2">
      <c r="A13" s="11"/>
      <c r="F13" s="11"/>
    </row>
    <row r="14" spans="1:26" ht="14.25" customHeight="1" x14ac:dyDescent="0.2">
      <c r="A14" s="11"/>
      <c r="F14" s="11"/>
    </row>
    <row r="15" spans="1:26" ht="14.25" customHeight="1" x14ac:dyDescent="0.2">
      <c r="A15" s="11"/>
      <c r="F15" s="11"/>
    </row>
    <row r="16" spans="1:26" ht="14.25" customHeight="1" x14ac:dyDescent="0.2">
      <c r="A16" s="11"/>
      <c r="F16" s="11"/>
    </row>
    <row r="17" spans="1:6" ht="14.25" customHeight="1" x14ac:dyDescent="0.2">
      <c r="A17" s="11"/>
      <c r="F17" s="11"/>
    </row>
    <row r="18" spans="1:6" ht="14.25" customHeight="1" x14ac:dyDescent="0.2">
      <c r="A18" s="11"/>
      <c r="F18" s="11"/>
    </row>
    <row r="19" spans="1:6" ht="14.25" customHeight="1" x14ac:dyDescent="0.2">
      <c r="A19" s="11"/>
      <c r="F19" s="11"/>
    </row>
    <row r="20" spans="1:6" ht="14.25" customHeight="1" x14ac:dyDescent="0.2">
      <c r="A20" s="11"/>
      <c r="F20" s="11"/>
    </row>
    <row r="21" spans="1:6" ht="14.25" customHeight="1" x14ac:dyDescent="0.2">
      <c r="A21" s="11"/>
      <c r="F21" s="11"/>
    </row>
    <row r="22" spans="1:6" ht="14.25" customHeight="1" x14ac:dyDescent="0.2">
      <c r="A22" s="11"/>
      <c r="F22" s="11"/>
    </row>
    <row r="23" spans="1:6" ht="14.25" customHeight="1" x14ac:dyDescent="0.2">
      <c r="A23" s="11"/>
      <c r="F23" s="11"/>
    </row>
    <row r="24" spans="1:6" ht="14.25" customHeight="1" x14ac:dyDescent="0.2">
      <c r="A24" s="11"/>
      <c r="F24" s="11"/>
    </row>
    <row r="25" spans="1:6" ht="14.25" customHeight="1" x14ac:dyDescent="0.2">
      <c r="A25" s="11"/>
      <c r="F25" s="11"/>
    </row>
    <row r="26" spans="1:6" ht="14.25" customHeight="1" x14ac:dyDescent="0.2">
      <c r="A26" s="11"/>
      <c r="F26" s="11"/>
    </row>
    <row r="27" spans="1:6" ht="14.25" customHeight="1" x14ac:dyDescent="0.2">
      <c r="A27" s="11"/>
      <c r="F27" s="11"/>
    </row>
    <row r="28" spans="1:6" ht="14.25" customHeight="1" x14ac:dyDescent="0.2">
      <c r="A28" s="11"/>
      <c r="F28" s="11"/>
    </row>
    <row r="29" spans="1:6" ht="14.25" customHeight="1" x14ac:dyDescent="0.2">
      <c r="A29" s="11"/>
      <c r="F29" s="11"/>
    </row>
    <row r="30" spans="1:6" ht="14.25" customHeight="1" x14ac:dyDescent="0.2">
      <c r="A30" s="11"/>
      <c r="F30" s="11"/>
    </row>
    <row r="31" spans="1:6" ht="14.25" customHeight="1" x14ac:dyDescent="0.2">
      <c r="A31" s="11"/>
      <c r="F31" s="11"/>
    </row>
    <row r="32" spans="1:6" ht="14.25" customHeight="1" x14ac:dyDescent="0.2">
      <c r="A32" s="11"/>
      <c r="F32" s="11"/>
    </row>
    <row r="33" spans="1:6" ht="14.25" customHeight="1" x14ac:dyDescent="0.2">
      <c r="A33" s="11"/>
      <c r="F33" s="11"/>
    </row>
    <row r="34" spans="1:6" ht="14.25" customHeight="1" x14ac:dyDescent="0.2">
      <c r="A34" s="11"/>
      <c r="F34" s="11"/>
    </row>
    <row r="35" spans="1:6" ht="14.25" customHeight="1" x14ac:dyDescent="0.2">
      <c r="A35" s="11"/>
      <c r="F35" s="11"/>
    </row>
    <row r="36" spans="1:6" ht="14.25" customHeight="1" x14ac:dyDescent="0.2">
      <c r="A36" s="11"/>
      <c r="F36" s="11"/>
    </row>
    <row r="37" spans="1:6" ht="14.25" customHeight="1" x14ac:dyDescent="0.2">
      <c r="A37" s="11"/>
      <c r="F37" s="11"/>
    </row>
    <row r="38" spans="1:6" ht="14.25" customHeight="1" x14ac:dyDescent="0.2">
      <c r="A38" s="11"/>
      <c r="F38" s="11"/>
    </row>
    <row r="39" spans="1:6" ht="14.25" customHeight="1" x14ac:dyDescent="0.2">
      <c r="A39" s="11"/>
      <c r="F39" s="11"/>
    </row>
    <row r="40" spans="1:6" ht="14.25" customHeight="1" x14ac:dyDescent="0.2">
      <c r="A40" s="11"/>
    </row>
    <row r="41" spans="1:6" ht="14.25" customHeight="1" x14ac:dyDescent="0.2">
      <c r="A41" s="11"/>
    </row>
    <row r="42" spans="1:6" ht="14.25" customHeight="1" x14ac:dyDescent="0.2">
      <c r="A42" s="11"/>
    </row>
    <row r="43" spans="1:6" ht="14.25" customHeight="1" x14ac:dyDescent="0.2">
      <c r="A43" s="11"/>
    </row>
    <row r="44" spans="1:6" ht="14.25" customHeight="1" x14ac:dyDescent="0.2">
      <c r="A44" s="11"/>
    </row>
    <row r="45" spans="1:6" ht="14.25" customHeight="1" x14ac:dyDescent="0.2">
      <c r="A45" s="11"/>
    </row>
    <row r="46" spans="1:6" ht="14.25" customHeight="1" x14ac:dyDescent="0.2">
      <c r="A46" s="11"/>
    </row>
    <row r="47" spans="1:6" ht="14.25" customHeight="1" x14ac:dyDescent="0.2">
      <c r="A47" s="11"/>
    </row>
    <row r="48" spans="1:6" ht="14.25" customHeight="1" x14ac:dyDescent="0.2">
      <c r="A48" s="11"/>
    </row>
    <row r="49" spans="1:1" ht="14.25" customHeight="1" x14ac:dyDescent="0.2">
      <c r="A49" s="11"/>
    </row>
    <row r="50" spans="1:1" ht="14.25" customHeight="1" x14ac:dyDescent="0.2">
      <c r="A50" s="11"/>
    </row>
    <row r="51" spans="1:1" ht="14.25" customHeight="1" x14ac:dyDescent="0.2">
      <c r="A51" s="11"/>
    </row>
    <row r="52" spans="1:1" ht="14.25" customHeight="1" x14ac:dyDescent="0.2">
      <c r="A52" s="11"/>
    </row>
    <row r="53" spans="1:1" ht="14.25" customHeight="1" x14ac:dyDescent="0.2">
      <c r="A53" s="11"/>
    </row>
    <row r="54" spans="1:1" ht="14.25" customHeight="1" x14ac:dyDescent="0.2">
      <c r="A54" s="11"/>
    </row>
    <row r="55" spans="1:1" ht="14.25" customHeight="1" x14ac:dyDescent="0.2">
      <c r="A55" s="11"/>
    </row>
    <row r="56" spans="1:1" ht="14.25" customHeight="1" x14ac:dyDescent="0.2">
      <c r="A56" s="11"/>
    </row>
    <row r="57" spans="1:1" ht="14.25" customHeight="1" x14ac:dyDescent="0.2">
      <c r="A57" s="11"/>
    </row>
    <row r="58" spans="1:1" ht="14.25" customHeight="1" x14ac:dyDescent="0.2">
      <c r="A58" s="11"/>
    </row>
    <row r="59" spans="1:1" ht="14.25" customHeight="1" x14ac:dyDescent="0.2">
      <c r="A59" s="11"/>
    </row>
    <row r="60" spans="1:1" ht="14.25" customHeight="1" x14ac:dyDescent="0.2">
      <c r="A60" s="11"/>
    </row>
    <row r="61" spans="1:1" ht="14.25" customHeight="1" x14ac:dyDescent="0.2">
      <c r="A61" s="11"/>
    </row>
    <row r="62" spans="1:1" ht="14.25" customHeight="1" x14ac:dyDescent="0.2">
      <c r="A62" s="11"/>
    </row>
    <row r="63" spans="1:1" ht="14.25" customHeight="1" x14ac:dyDescent="0.2">
      <c r="A63" s="11"/>
    </row>
    <row r="64" spans="1:1" ht="14.25" customHeight="1" x14ac:dyDescent="0.2">
      <c r="A64" s="11"/>
    </row>
    <row r="65" spans="1:1" ht="14.25" customHeight="1" x14ac:dyDescent="0.2">
      <c r="A65" s="11"/>
    </row>
    <row r="66" spans="1:1" ht="14.25" customHeight="1" x14ac:dyDescent="0.2">
      <c r="A66" s="11"/>
    </row>
    <row r="67" spans="1:1" ht="14.25" customHeight="1" x14ac:dyDescent="0.2">
      <c r="A67" s="11"/>
    </row>
    <row r="68" spans="1:1" ht="14.25" customHeight="1" x14ac:dyDescent="0.2">
      <c r="A68" s="11"/>
    </row>
    <row r="69" spans="1:1" ht="14.25" customHeight="1" x14ac:dyDescent="0.2">
      <c r="A69" s="11"/>
    </row>
    <row r="70" spans="1:1" ht="14.25" customHeight="1" x14ac:dyDescent="0.2">
      <c r="A70" s="11"/>
    </row>
    <row r="71" spans="1:1" ht="14.25" customHeight="1" x14ac:dyDescent="0.2">
      <c r="A71" s="11"/>
    </row>
    <row r="72" spans="1:1" ht="14.25" customHeight="1" x14ac:dyDescent="0.2">
      <c r="A72" s="11"/>
    </row>
    <row r="73" spans="1:1" ht="14.25" customHeight="1" x14ac:dyDescent="0.2">
      <c r="A73" s="11"/>
    </row>
    <row r="74" spans="1:1" ht="14.25" customHeight="1" x14ac:dyDescent="0.2">
      <c r="A74" s="11"/>
    </row>
    <row r="75" spans="1:1" ht="14.25" customHeight="1" x14ac:dyDescent="0.2">
      <c r="A75" s="11"/>
    </row>
    <row r="76" spans="1:1" ht="14.25" customHeight="1" x14ac:dyDescent="0.2">
      <c r="A76" s="11"/>
    </row>
    <row r="77" spans="1:1" ht="14.25" customHeight="1" x14ac:dyDescent="0.2">
      <c r="A77" s="11"/>
    </row>
    <row r="78" spans="1:1" ht="14.25" customHeight="1" x14ac:dyDescent="0.2">
      <c r="A78" s="11"/>
    </row>
    <row r="79" spans="1:1" ht="14.25" customHeight="1" x14ac:dyDescent="0.2">
      <c r="A79" s="11"/>
    </row>
    <row r="80" spans="1:1" ht="14.25" customHeight="1" x14ac:dyDescent="0.2">
      <c r="A80" s="11"/>
    </row>
    <row r="81" spans="1:1" ht="14.25" customHeight="1" x14ac:dyDescent="0.2">
      <c r="A81" s="11"/>
    </row>
    <row r="82" spans="1:1" ht="14.25" customHeight="1" x14ac:dyDescent="0.2">
      <c r="A82" s="11"/>
    </row>
    <row r="83" spans="1:1" ht="14.25" customHeight="1" x14ac:dyDescent="0.2">
      <c r="A83" s="11"/>
    </row>
    <row r="84" spans="1:1" ht="14.25" customHeight="1" x14ac:dyDescent="0.2">
      <c r="A84" s="11"/>
    </row>
    <row r="85" spans="1:1" ht="14.25" customHeight="1" x14ac:dyDescent="0.2">
      <c r="A85" s="11"/>
    </row>
    <row r="86" spans="1:1" ht="14.25" customHeight="1" x14ac:dyDescent="0.2">
      <c r="A86" s="11"/>
    </row>
    <row r="87" spans="1:1" ht="14.25" customHeight="1" x14ac:dyDescent="0.2">
      <c r="A87" s="11"/>
    </row>
    <row r="88" spans="1:1" ht="14.25" customHeight="1" x14ac:dyDescent="0.2">
      <c r="A88" s="11"/>
    </row>
    <row r="89" spans="1:1" ht="14.25" customHeight="1" x14ac:dyDescent="0.2">
      <c r="A89" s="11"/>
    </row>
    <row r="90" spans="1:1" ht="14.25" customHeight="1" x14ac:dyDescent="0.2">
      <c r="A90" s="11"/>
    </row>
    <row r="91" spans="1:1" ht="14.25" customHeight="1" x14ac:dyDescent="0.2">
      <c r="A91" s="11"/>
    </row>
    <row r="92" spans="1:1" ht="14.25" customHeight="1" x14ac:dyDescent="0.2">
      <c r="A92" s="11"/>
    </row>
    <row r="93" spans="1:1" ht="14.25" customHeight="1" x14ac:dyDescent="0.2">
      <c r="A93" s="11"/>
    </row>
    <row r="94" spans="1:1" ht="14.25" customHeight="1" x14ac:dyDescent="0.2">
      <c r="A94" s="11"/>
    </row>
    <row r="95" spans="1:1" ht="14.25" customHeight="1" x14ac:dyDescent="0.2">
      <c r="A95" s="11"/>
    </row>
    <row r="96" spans="1:1" ht="14.25" customHeight="1" x14ac:dyDescent="0.2">
      <c r="A96" s="11"/>
    </row>
    <row r="97" spans="1:1" ht="14.25" customHeight="1" x14ac:dyDescent="0.2">
      <c r="A97" s="11"/>
    </row>
    <row r="98" spans="1:1" ht="14.25" customHeight="1" x14ac:dyDescent="0.2">
      <c r="A98" s="11"/>
    </row>
    <row r="99" spans="1:1" ht="14.25" customHeight="1" x14ac:dyDescent="0.2">
      <c r="A99" s="11"/>
    </row>
    <row r="100" spans="1:1" ht="14.25" customHeight="1" x14ac:dyDescent="0.2">
      <c r="A100" s="11"/>
    </row>
    <row r="101" spans="1:1" ht="14.25" customHeight="1" x14ac:dyDescent="0.2">
      <c r="A101" s="11"/>
    </row>
    <row r="102" spans="1:1" ht="14.25" customHeight="1" x14ac:dyDescent="0.2">
      <c r="A102" s="11"/>
    </row>
    <row r="103" spans="1:1" ht="14.25" customHeight="1" x14ac:dyDescent="0.2">
      <c r="A103" s="11"/>
    </row>
    <row r="104" spans="1:1" ht="14.25" customHeight="1" x14ac:dyDescent="0.2">
      <c r="A104" s="11"/>
    </row>
    <row r="105" spans="1:1" ht="14.25" customHeight="1" x14ac:dyDescent="0.2">
      <c r="A105" s="11"/>
    </row>
    <row r="106" spans="1:1" ht="14.25" customHeight="1" x14ac:dyDescent="0.2">
      <c r="A106" s="11"/>
    </row>
    <row r="107" spans="1:1" ht="14.25" customHeight="1" x14ac:dyDescent="0.2">
      <c r="A107" s="11"/>
    </row>
    <row r="108" spans="1:1" ht="14.25" customHeight="1" x14ac:dyDescent="0.2">
      <c r="A108" s="11"/>
    </row>
    <row r="109" spans="1:1" ht="14.25" customHeight="1" x14ac:dyDescent="0.2">
      <c r="A109" s="11"/>
    </row>
    <row r="110" spans="1:1" ht="14.25" customHeight="1" x14ac:dyDescent="0.2">
      <c r="A110" s="11"/>
    </row>
    <row r="111" spans="1:1" ht="14.25" customHeight="1" x14ac:dyDescent="0.2">
      <c r="A111" s="11"/>
    </row>
    <row r="112" spans="1:1" ht="14.25" customHeight="1" x14ac:dyDescent="0.2">
      <c r="A112" s="11"/>
    </row>
    <row r="113" spans="1:1" ht="14.25" customHeight="1" x14ac:dyDescent="0.2">
      <c r="A113" s="11"/>
    </row>
    <row r="114" spans="1:1" ht="14.25" customHeight="1" x14ac:dyDescent="0.2">
      <c r="A114" s="11"/>
    </row>
    <row r="115" spans="1:1" ht="14.25" customHeight="1" x14ac:dyDescent="0.2">
      <c r="A115" s="11"/>
    </row>
    <row r="116" spans="1:1" ht="14.25" customHeight="1" x14ac:dyDescent="0.2">
      <c r="A116" s="11"/>
    </row>
    <row r="117" spans="1:1" ht="14.25" customHeight="1" x14ac:dyDescent="0.2">
      <c r="A117" s="11"/>
    </row>
    <row r="118" spans="1:1" ht="14.25" customHeight="1" x14ac:dyDescent="0.2">
      <c r="A118" s="11"/>
    </row>
    <row r="119" spans="1:1" ht="14.25" customHeight="1" x14ac:dyDescent="0.2">
      <c r="A119" s="11"/>
    </row>
    <row r="120" spans="1:1" ht="14.25" customHeight="1" x14ac:dyDescent="0.2">
      <c r="A120" s="11"/>
    </row>
    <row r="121" spans="1:1" ht="14.25" customHeight="1" x14ac:dyDescent="0.2">
      <c r="A121" s="11"/>
    </row>
    <row r="122" spans="1:1" ht="14.25" customHeight="1" x14ac:dyDescent="0.2">
      <c r="A122" s="11"/>
    </row>
    <row r="123" spans="1:1" ht="14.25" customHeight="1" x14ac:dyDescent="0.2">
      <c r="A123" s="11"/>
    </row>
    <row r="124" spans="1:1" ht="14.25" customHeight="1" x14ac:dyDescent="0.2">
      <c r="A124" s="11"/>
    </row>
    <row r="125" spans="1:1" ht="14.25" customHeight="1" x14ac:dyDescent="0.2">
      <c r="A125" s="11"/>
    </row>
    <row r="126" spans="1:1" ht="14.25" customHeight="1" x14ac:dyDescent="0.2">
      <c r="A126" s="11"/>
    </row>
    <row r="127" spans="1:1" ht="14.25" customHeight="1" x14ac:dyDescent="0.2">
      <c r="A127" s="11"/>
    </row>
    <row r="128" spans="1:1" ht="14.25" customHeight="1" x14ac:dyDescent="0.2">
      <c r="A128" s="11"/>
    </row>
    <row r="129" spans="1:1" ht="14.25" customHeight="1" x14ac:dyDescent="0.2">
      <c r="A129" s="11"/>
    </row>
    <row r="130" spans="1:1" ht="14.25" customHeight="1" x14ac:dyDescent="0.2">
      <c r="A130" s="11"/>
    </row>
    <row r="131" spans="1:1" ht="14.25" customHeight="1" x14ac:dyDescent="0.2">
      <c r="A131" s="11"/>
    </row>
    <row r="132" spans="1:1" ht="14.25" customHeight="1" x14ac:dyDescent="0.2">
      <c r="A132" s="11"/>
    </row>
    <row r="133" spans="1:1" ht="14.25" customHeight="1" x14ac:dyDescent="0.2">
      <c r="A133" s="11"/>
    </row>
    <row r="134" spans="1:1" ht="14.25" customHeight="1" x14ac:dyDescent="0.2">
      <c r="A134" s="11"/>
    </row>
    <row r="135" spans="1:1" ht="14.25" customHeight="1" x14ac:dyDescent="0.2">
      <c r="A135" s="11"/>
    </row>
    <row r="136" spans="1:1" ht="14.25" customHeight="1" x14ac:dyDescent="0.2">
      <c r="A136" s="11"/>
    </row>
    <row r="137" spans="1:1" ht="14.25" customHeight="1" x14ac:dyDescent="0.2">
      <c r="A137" s="11"/>
    </row>
    <row r="138" spans="1:1" ht="14.25" customHeight="1" x14ac:dyDescent="0.2">
      <c r="A138" s="11"/>
    </row>
    <row r="139" spans="1:1" ht="14.25" customHeight="1" x14ac:dyDescent="0.2">
      <c r="A139" s="11"/>
    </row>
    <row r="140" spans="1:1" ht="14.25" customHeight="1" x14ac:dyDescent="0.2">
      <c r="A140" s="11"/>
    </row>
    <row r="141" spans="1:1" ht="14.25" customHeight="1" x14ac:dyDescent="0.2">
      <c r="A141" s="11"/>
    </row>
    <row r="142" spans="1:1" ht="14.25" customHeight="1" x14ac:dyDescent="0.2">
      <c r="A142" s="11"/>
    </row>
    <row r="143" spans="1:1" ht="14.25" customHeight="1" x14ac:dyDescent="0.2">
      <c r="A143" s="11"/>
    </row>
    <row r="144" spans="1:1" ht="14.25" customHeight="1" x14ac:dyDescent="0.2">
      <c r="A144" s="11"/>
    </row>
    <row r="145" spans="1:1" ht="14.25" customHeight="1" x14ac:dyDescent="0.2">
      <c r="A145" s="11"/>
    </row>
    <row r="146" spans="1:1" ht="14.25" customHeight="1" x14ac:dyDescent="0.2">
      <c r="A146" s="11"/>
    </row>
    <row r="147" spans="1:1" ht="14.25" customHeight="1" x14ac:dyDescent="0.2">
      <c r="A147" s="11"/>
    </row>
    <row r="148" spans="1:1" ht="14.25" customHeight="1" x14ac:dyDescent="0.2">
      <c r="A148" s="11"/>
    </row>
    <row r="149" spans="1:1" ht="14.25" customHeight="1" x14ac:dyDescent="0.2">
      <c r="A149" s="11"/>
    </row>
    <row r="150" spans="1:1" ht="14.25" customHeight="1" x14ac:dyDescent="0.2">
      <c r="A150" s="11"/>
    </row>
    <row r="151" spans="1:1" ht="14.25" customHeight="1" x14ac:dyDescent="0.2">
      <c r="A151" s="11"/>
    </row>
    <row r="152" spans="1:1" ht="14.25" customHeight="1" x14ac:dyDescent="0.2">
      <c r="A152" s="11"/>
    </row>
    <row r="153" spans="1:1" ht="14.25" customHeight="1" x14ac:dyDescent="0.2">
      <c r="A153" s="11"/>
    </row>
    <row r="154" spans="1:1" ht="14.25" customHeight="1" x14ac:dyDescent="0.2">
      <c r="A154" s="11"/>
    </row>
    <row r="155" spans="1:1" ht="14.25" customHeight="1" x14ac:dyDescent="0.2">
      <c r="A155" s="11"/>
    </row>
    <row r="156" spans="1:1" ht="14.25" customHeight="1" x14ac:dyDescent="0.2">
      <c r="A156" s="11"/>
    </row>
    <row r="157" spans="1:1" ht="14.25" customHeight="1" x14ac:dyDescent="0.2">
      <c r="A157" s="11"/>
    </row>
    <row r="158" spans="1:1" ht="14.25" customHeight="1" x14ac:dyDescent="0.2">
      <c r="A158" s="11"/>
    </row>
    <row r="159" spans="1:1" ht="14.25" customHeight="1" x14ac:dyDescent="0.2">
      <c r="A159" s="11"/>
    </row>
    <row r="160" spans="1:1" ht="14.25" customHeight="1" x14ac:dyDescent="0.2">
      <c r="A160" s="11"/>
    </row>
    <row r="161" spans="1:1" ht="14.25" customHeight="1" x14ac:dyDescent="0.2">
      <c r="A161" s="11"/>
    </row>
    <row r="162" spans="1:1" ht="14.25" customHeight="1" x14ac:dyDescent="0.2">
      <c r="A162" s="11"/>
    </row>
    <row r="163" spans="1:1" ht="14.25" customHeight="1" x14ac:dyDescent="0.2">
      <c r="A163" s="11"/>
    </row>
    <row r="164" spans="1:1" ht="14.25" customHeight="1" x14ac:dyDescent="0.2">
      <c r="A164" s="11"/>
    </row>
    <row r="165" spans="1:1" ht="14.25" customHeight="1" x14ac:dyDescent="0.2">
      <c r="A165" s="11"/>
    </row>
    <row r="166" spans="1:1" ht="14.25" customHeight="1" x14ac:dyDescent="0.2">
      <c r="A166" s="11"/>
    </row>
    <row r="167" spans="1:1" ht="14.25" customHeight="1" x14ac:dyDescent="0.2">
      <c r="A167" s="11"/>
    </row>
    <row r="168" spans="1:1" ht="14.25" customHeight="1" x14ac:dyDescent="0.2">
      <c r="A168" s="11"/>
    </row>
    <row r="169" spans="1:1" ht="14.25" customHeight="1" x14ac:dyDescent="0.2">
      <c r="A169" s="11"/>
    </row>
    <row r="170" spans="1:1" ht="14.25" customHeight="1" x14ac:dyDescent="0.2">
      <c r="A170" s="11"/>
    </row>
    <row r="171" spans="1:1" ht="14.25" customHeight="1" x14ac:dyDescent="0.2">
      <c r="A171" s="11"/>
    </row>
    <row r="172" spans="1:1" ht="14.25" customHeight="1" x14ac:dyDescent="0.2">
      <c r="A172" s="11"/>
    </row>
    <row r="173" spans="1:1" ht="14.25" customHeight="1" x14ac:dyDescent="0.2">
      <c r="A173" s="11"/>
    </row>
    <row r="174" spans="1:1" ht="14.25" customHeight="1" x14ac:dyDescent="0.2">
      <c r="A174" s="11"/>
    </row>
    <row r="175" spans="1:1" ht="14.25" customHeight="1" x14ac:dyDescent="0.2">
      <c r="A175" s="11"/>
    </row>
    <row r="176" spans="1:1" ht="14.25" customHeight="1" x14ac:dyDescent="0.2">
      <c r="A176" s="11"/>
    </row>
    <row r="177" spans="1:1" ht="14.25" customHeight="1" x14ac:dyDescent="0.2">
      <c r="A177" s="11"/>
    </row>
    <row r="178" spans="1:1" ht="14.25" customHeight="1" x14ac:dyDescent="0.2">
      <c r="A178" s="11"/>
    </row>
    <row r="179" spans="1:1" ht="14.25" customHeight="1" x14ac:dyDescent="0.2">
      <c r="A179" s="11"/>
    </row>
    <row r="180" spans="1:1" ht="14.25" customHeight="1" x14ac:dyDescent="0.2">
      <c r="A180" s="11"/>
    </row>
    <row r="181" spans="1:1" ht="14.25" customHeight="1" x14ac:dyDescent="0.2">
      <c r="A181" s="11"/>
    </row>
    <row r="182" spans="1:1" ht="14.25" customHeight="1" x14ac:dyDescent="0.2">
      <c r="A182" s="11"/>
    </row>
    <row r="183" spans="1:1" ht="14.25" customHeight="1" x14ac:dyDescent="0.2">
      <c r="A183" s="11"/>
    </row>
    <row r="184" spans="1:1" ht="14.25" customHeight="1" x14ac:dyDescent="0.2">
      <c r="A184" s="11"/>
    </row>
    <row r="185" spans="1:1" ht="14.25" customHeight="1" x14ac:dyDescent="0.2">
      <c r="A185" s="11"/>
    </row>
    <row r="186" spans="1:1" ht="14.25" customHeight="1" x14ac:dyDescent="0.2">
      <c r="A186" s="11"/>
    </row>
    <row r="187" spans="1:1" ht="14.25" customHeight="1" x14ac:dyDescent="0.2">
      <c r="A187" s="11"/>
    </row>
    <row r="188" spans="1:1" ht="14.25" customHeight="1" x14ac:dyDescent="0.2">
      <c r="A188" s="11"/>
    </row>
    <row r="189" spans="1:1" ht="14.25" customHeight="1" x14ac:dyDescent="0.2">
      <c r="A189" s="11"/>
    </row>
    <row r="190" spans="1:1" ht="14.25" customHeight="1" x14ac:dyDescent="0.2">
      <c r="A190" s="11"/>
    </row>
    <row r="191" spans="1:1" ht="14.25" customHeight="1" x14ac:dyDescent="0.2">
      <c r="A191" s="11"/>
    </row>
    <row r="192" spans="1:1" ht="14.25" customHeight="1" x14ac:dyDescent="0.2">
      <c r="A192" s="11"/>
    </row>
    <row r="193" spans="1:1" ht="14.25" customHeight="1" x14ac:dyDescent="0.2">
      <c r="A193" s="11"/>
    </row>
    <row r="194" spans="1:1" ht="14.25" customHeight="1" x14ac:dyDescent="0.2">
      <c r="A194" s="11"/>
    </row>
    <row r="195" spans="1:1" ht="14.25" customHeight="1" x14ac:dyDescent="0.2">
      <c r="A195" s="11"/>
    </row>
    <row r="196" spans="1:1" ht="14.25" customHeight="1" x14ac:dyDescent="0.2">
      <c r="A196" s="11"/>
    </row>
    <row r="197" spans="1:1" ht="14.25" customHeight="1" x14ac:dyDescent="0.2">
      <c r="A197" s="11"/>
    </row>
    <row r="198" spans="1:1" ht="14.25" customHeight="1" x14ac:dyDescent="0.2">
      <c r="A198" s="11"/>
    </row>
    <row r="199" spans="1:1" ht="14.25" customHeight="1" x14ac:dyDescent="0.2">
      <c r="A199" s="11"/>
    </row>
    <row r="200" spans="1:1" ht="14.25" customHeight="1" x14ac:dyDescent="0.2">
      <c r="A200" s="11"/>
    </row>
    <row r="201" spans="1:1" ht="14.25" customHeight="1" x14ac:dyDescent="0.2">
      <c r="A201" s="11"/>
    </row>
    <row r="202" spans="1:1" ht="14.25" customHeight="1" x14ac:dyDescent="0.2">
      <c r="A202" s="11"/>
    </row>
    <row r="203" spans="1:1" ht="14.25" customHeight="1" x14ac:dyDescent="0.2">
      <c r="A203" s="11"/>
    </row>
    <row r="204" spans="1:1" ht="14.25" customHeight="1" x14ac:dyDescent="0.2">
      <c r="A204" s="11"/>
    </row>
    <row r="205" spans="1:1" ht="14.25" customHeight="1" x14ac:dyDescent="0.2">
      <c r="A205" s="11"/>
    </row>
    <row r="206" spans="1:1" ht="14.25" customHeight="1" x14ac:dyDescent="0.2">
      <c r="A206" s="11"/>
    </row>
    <row r="207" spans="1:1" ht="14.25" customHeight="1" x14ac:dyDescent="0.2">
      <c r="A207" s="11"/>
    </row>
    <row r="208" spans="1:1" ht="14.25" customHeight="1" x14ac:dyDescent="0.2">
      <c r="A208" s="11"/>
    </row>
    <row r="209" spans="1:1" ht="14.25" customHeight="1" x14ac:dyDescent="0.2">
      <c r="A209" s="11"/>
    </row>
    <row r="210" spans="1:1" ht="14.25" customHeight="1" x14ac:dyDescent="0.2">
      <c r="A210" s="11"/>
    </row>
    <row r="211" spans="1:1" ht="14.25" customHeight="1" x14ac:dyDescent="0.2">
      <c r="A211" s="11"/>
    </row>
    <row r="212" spans="1:1" ht="14.25" customHeight="1" x14ac:dyDescent="0.2">
      <c r="A212" s="11"/>
    </row>
    <row r="213" spans="1:1" ht="14.25" customHeight="1" x14ac:dyDescent="0.2">
      <c r="A213" s="11"/>
    </row>
    <row r="214" spans="1:1" ht="14.25" customHeight="1" x14ac:dyDescent="0.2">
      <c r="A214" s="11"/>
    </row>
    <row r="215" spans="1:1" ht="14.25" customHeight="1" x14ac:dyDescent="0.2">
      <c r="A215" s="11"/>
    </row>
    <row r="216" spans="1:1" ht="14.25" customHeight="1" x14ac:dyDescent="0.2">
      <c r="A216" s="11"/>
    </row>
    <row r="217" spans="1:1" ht="14.25" customHeight="1" x14ac:dyDescent="0.2">
      <c r="A217" s="11"/>
    </row>
    <row r="218" spans="1:1" ht="14.25" customHeight="1" x14ac:dyDescent="0.2">
      <c r="A218" s="11"/>
    </row>
    <row r="219" spans="1:1" ht="14.25" customHeight="1" x14ac:dyDescent="0.2">
      <c r="A219" s="11"/>
    </row>
    <row r="220" spans="1:1" ht="14.25" customHeight="1" x14ac:dyDescent="0.2">
      <c r="A220" s="11"/>
    </row>
    <row r="221" spans="1:1" ht="14.25" customHeight="1" x14ac:dyDescent="0.2">
      <c r="A221" s="11"/>
    </row>
    <row r="222" spans="1:1" ht="14.25" customHeight="1" x14ac:dyDescent="0.2">
      <c r="A222" s="11"/>
    </row>
    <row r="223" spans="1:1" ht="14.25" customHeight="1" x14ac:dyDescent="0.2">
      <c r="A223" s="11"/>
    </row>
    <row r="224" spans="1:1" ht="14.25" customHeight="1" x14ac:dyDescent="0.2">
      <c r="A224" s="11"/>
    </row>
    <row r="225" spans="1:1" ht="14.25" customHeight="1" x14ac:dyDescent="0.2">
      <c r="A225" s="11"/>
    </row>
    <row r="226" spans="1:1" ht="14.25" customHeight="1" x14ac:dyDescent="0.2">
      <c r="A226" s="11"/>
    </row>
    <row r="227" spans="1:1" ht="14.25" customHeight="1" x14ac:dyDescent="0.2">
      <c r="A227" s="11"/>
    </row>
    <row r="228" spans="1:1" ht="14.25" customHeight="1" x14ac:dyDescent="0.2">
      <c r="A228" s="11"/>
    </row>
    <row r="229" spans="1:1" ht="14.25" customHeight="1" x14ac:dyDescent="0.2">
      <c r="A229" s="11"/>
    </row>
    <row r="230" spans="1:1" ht="14.25" customHeight="1" x14ac:dyDescent="0.2">
      <c r="A230" s="11"/>
    </row>
    <row r="231" spans="1:1" ht="14.25" customHeight="1" x14ac:dyDescent="0.2">
      <c r="A231" s="11"/>
    </row>
    <row r="232" spans="1:1" ht="14.25" customHeight="1" x14ac:dyDescent="0.2">
      <c r="A232" s="11"/>
    </row>
    <row r="233" spans="1:1" ht="14.25" customHeight="1" x14ac:dyDescent="0.2">
      <c r="A233" s="11"/>
    </row>
    <row r="234" spans="1:1" ht="14.25" customHeight="1" x14ac:dyDescent="0.2">
      <c r="A234" s="11"/>
    </row>
    <row r="235" spans="1:1" ht="14.25" customHeight="1" x14ac:dyDescent="0.2">
      <c r="A235" s="11"/>
    </row>
    <row r="236" spans="1:1" ht="14.25" customHeight="1" x14ac:dyDescent="0.2">
      <c r="A236" s="11"/>
    </row>
    <row r="237" spans="1:1" ht="14.25" customHeight="1" x14ac:dyDescent="0.2">
      <c r="A237" s="11"/>
    </row>
    <row r="238" spans="1:1" ht="14.25" customHeight="1" x14ac:dyDescent="0.2">
      <c r="A238" s="11"/>
    </row>
    <row r="239" spans="1:1" ht="14.25" customHeight="1" x14ac:dyDescent="0.2">
      <c r="A239" s="11"/>
    </row>
    <row r="240" spans="1:1" ht="14.25" customHeight="1" x14ac:dyDescent="0.2">
      <c r="A240" s="11"/>
    </row>
    <row r="241" spans="1:1" ht="14.25" customHeight="1" x14ac:dyDescent="0.2">
      <c r="A241" s="11"/>
    </row>
    <row r="242" spans="1:1" ht="14.25" customHeight="1" x14ac:dyDescent="0.2">
      <c r="A242" s="11"/>
    </row>
    <row r="243" spans="1:1" ht="14.25" customHeight="1" x14ac:dyDescent="0.2">
      <c r="A243" s="11"/>
    </row>
    <row r="244" spans="1:1" ht="14.25" customHeight="1" x14ac:dyDescent="0.2">
      <c r="A244" s="11"/>
    </row>
    <row r="245" spans="1:1" ht="14.25" customHeight="1" x14ac:dyDescent="0.2">
      <c r="A245" s="11"/>
    </row>
    <row r="246" spans="1:1" ht="14.25" customHeight="1" x14ac:dyDescent="0.2">
      <c r="A246" s="11"/>
    </row>
    <row r="247" spans="1:1" ht="14.25" customHeight="1" x14ac:dyDescent="0.2">
      <c r="A247" s="11"/>
    </row>
    <row r="248" spans="1:1" ht="14.25" customHeight="1" x14ac:dyDescent="0.2">
      <c r="A248" s="11"/>
    </row>
    <row r="249" spans="1:1" ht="14.25" customHeight="1" x14ac:dyDescent="0.2">
      <c r="A249" s="11"/>
    </row>
    <row r="250" spans="1:1" ht="14.25" customHeight="1" x14ac:dyDescent="0.2">
      <c r="A250" s="11"/>
    </row>
    <row r="251" spans="1:1" ht="14.25" customHeight="1" x14ac:dyDescent="0.2">
      <c r="A251" s="11"/>
    </row>
    <row r="252" spans="1:1" ht="14.25" customHeight="1" x14ac:dyDescent="0.2">
      <c r="A252" s="11"/>
    </row>
    <row r="253" spans="1:1" ht="14.25" customHeight="1" x14ac:dyDescent="0.2">
      <c r="A253" s="11"/>
    </row>
    <row r="254" spans="1:1" ht="14.25" customHeight="1" x14ac:dyDescent="0.2">
      <c r="A254" s="11"/>
    </row>
    <row r="255" spans="1:1" ht="14.25" customHeight="1" x14ac:dyDescent="0.2">
      <c r="A255" s="11"/>
    </row>
    <row r="256" spans="1:1" ht="14.25" customHeight="1" x14ac:dyDescent="0.2">
      <c r="A256" s="11"/>
    </row>
    <row r="257" spans="1:1" ht="14.25" customHeight="1" x14ac:dyDescent="0.2">
      <c r="A257" s="11"/>
    </row>
    <row r="258" spans="1:1" ht="14.25" customHeight="1" x14ac:dyDescent="0.2">
      <c r="A258" s="11"/>
    </row>
    <row r="259" spans="1:1" ht="14.25" customHeight="1" x14ac:dyDescent="0.2">
      <c r="A259" s="11"/>
    </row>
    <row r="260" spans="1:1" ht="14.25" customHeight="1" x14ac:dyDescent="0.2">
      <c r="A260" s="11"/>
    </row>
    <row r="261" spans="1:1" ht="14.25" customHeight="1" x14ac:dyDescent="0.2">
      <c r="A261" s="11"/>
    </row>
    <row r="262" spans="1:1" ht="14.25" customHeight="1" x14ac:dyDescent="0.2">
      <c r="A262" s="11"/>
    </row>
    <row r="263" spans="1:1" ht="14.25" customHeight="1" x14ac:dyDescent="0.2">
      <c r="A263" s="11"/>
    </row>
    <row r="264" spans="1:1" ht="14.25" customHeight="1" x14ac:dyDescent="0.2">
      <c r="A264" s="11"/>
    </row>
    <row r="265" spans="1:1" ht="14.25" customHeight="1" x14ac:dyDescent="0.2">
      <c r="A265" s="11"/>
    </row>
    <row r="266" spans="1:1" ht="14.25" customHeight="1" x14ac:dyDescent="0.2">
      <c r="A266" s="11"/>
    </row>
    <row r="267" spans="1:1" ht="14.25" customHeight="1" x14ac:dyDescent="0.2">
      <c r="A267" s="11"/>
    </row>
    <row r="268" spans="1:1" ht="14.25" customHeight="1" x14ac:dyDescent="0.2">
      <c r="A268" s="11"/>
    </row>
    <row r="269" spans="1:1" ht="14.25" customHeight="1" x14ac:dyDescent="0.2">
      <c r="A269" s="11"/>
    </row>
    <row r="270" spans="1:1" ht="14.25" customHeight="1" x14ac:dyDescent="0.2">
      <c r="A270" s="11"/>
    </row>
    <row r="271" spans="1:1" ht="14.25" customHeight="1" x14ac:dyDescent="0.2">
      <c r="A271" s="11"/>
    </row>
    <row r="272" spans="1:1" ht="14.25" customHeight="1" x14ac:dyDescent="0.2">
      <c r="A272" s="11"/>
    </row>
    <row r="273" spans="1:1" ht="14.25" customHeight="1" x14ac:dyDescent="0.2">
      <c r="A273" s="11"/>
    </row>
    <row r="274" spans="1:1" ht="14.25" customHeight="1" x14ac:dyDescent="0.2">
      <c r="A274" s="11"/>
    </row>
    <row r="275" spans="1:1" ht="14.25" customHeight="1" x14ac:dyDescent="0.2">
      <c r="A275" s="11"/>
    </row>
    <row r="276" spans="1:1" ht="14.25" customHeight="1" x14ac:dyDescent="0.2">
      <c r="A276" s="11"/>
    </row>
    <row r="277" spans="1:1" ht="14.25" customHeight="1" x14ac:dyDescent="0.2">
      <c r="A277" s="11"/>
    </row>
    <row r="278" spans="1:1" ht="14.25" customHeight="1" x14ac:dyDescent="0.2">
      <c r="A278" s="11"/>
    </row>
    <row r="279" spans="1:1" ht="14.25" customHeight="1" x14ac:dyDescent="0.2">
      <c r="A279" s="11"/>
    </row>
    <row r="280" spans="1:1" ht="14.25" customHeight="1" x14ac:dyDescent="0.2">
      <c r="A280" s="11"/>
    </row>
    <row r="281" spans="1:1" ht="14.25" customHeight="1" x14ac:dyDescent="0.2">
      <c r="A281" s="11"/>
    </row>
    <row r="282" spans="1:1" ht="14.25" customHeight="1" x14ac:dyDescent="0.2">
      <c r="A282" s="11"/>
    </row>
    <row r="283" spans="1:1" ht="14.25" customHeight="1" x14ac:dyDescent="0.2">
      <c r="A283" s="11"/>
    </row>
    <row r="284" spans="1:1" ht="14.25" customHeight="1" x14ac:dyDescent="0.2">
      <c r="A284" s="11"/>
    </row>
    <row r="285" spans="1:1" ht="14.25" customHeight="1" x14ac:dyDescent="0.2">
      <c r="A285" s="11"/>
    </row>
    <row r="286" spans="1:1" ht="14.25" customHeight="1" x14ac:dyDescent="0.2">
      <c r="A286" s="11"/>
    </row>
    <row r="287" spans="1:1" ht="14.25" customHeight="1" x14ac:dyDescent="0.2">
      <c r="A287" s="11"/>
    </row>
    <row r="288" spans="1:1" ht="14.25" customHeight="1" x14ac:dyDescent="0.2">
      <c r="A288" s="11"/>
    </row>
    <row r="289" spans="1:1" ht="14.25" customHeight="1" x14ac:dyDescent="0.2">
      <c r="A289" s="11"/>
    </row>
    <row r="290" spans="1:1" ht="14.25" customHeight="1" x14ac:dyDescent="0.2">
      <c r="A290" s="11"/>
    </row>
    <row r="291" spans="1:1" ht="14.25" customHeight="1" x14ac:dyDescent="0.2">
      <c r="A291" s="11"/>
    </row>
    <row r="292" spans="1:1" ht="14.25" customHeight="1" x14ac:dyDescent="0.2">
      <c r="A292" s="11"/>
    </row>
    <row r="293" spans="1:1" ht="14.25" customHeight="1" x14ac:dyDescent="0.2">
      <c r="A293" s="11"/>
    </row>
    <row r="294" spans="1:1" ht="14.25" customHeight="1" x14ac:dyDescent="0.2">
      <c r="A294" s="11"/>
    </row>
    <row r="295" spans="1:1" ht="14.25" customHeight="1" x14ac:dyDescent="0.2">
      <c r="A295" s="11"/>
    </row>
    <row r="296" spans="1:1" ht="14.25" customHeight="1" x14ac:dyDescent="0.2">
      <c r="A296" s="11"/>
    </row>
    <row r="297" spans="1:1" ht="14.25" customHeight="1" x14ac:dyDescent="0.2">
      <c r="A297" s="11"/>
    </row>
    <row r="298" spans="1:1" ht="14.25" customHeight="1" x14ac:dyDescent="0.2">
      <c r="A298" s="11"/>
    </row>
    <row r="299" spans="1:1" ht="14.25" customHeight="1" x14ac:dyDescent="0.2">
      <c r="A299" s="11"/>
    </row>
    <row r="300" spans="1:1" ht="14.25" customHeight="1" x14ac:dyDescent="0.2">
      <c r="A300" s="11"/>
    </row>
    <row r="301" spans="1:1" ht="14.25" customHeight="1" x14ac:dyDescent="0.2">
      <c r="A301" s="11"/>
    </row>
    <row r="302" spans="1:1" ht="14.25" customHeight="1" x14ac:dyDescent="0.2">
      <c r="A302" s="11"/>
    </row>
    <row r="303" spans="1:1" ht="14.25" customHeight="1" x14ac:dyDescent="0.2">
      <c r="A303" s="11"/>
    </row>
    <row r="304" spans="1:1" ht="14.25" customHeight="1" x14ac:dyDescent="0.2">
      <c r="A304" s="11"/>
    </row>
    <row r="305" spans="1:1" ht="14.25" customHeight="1" x14ac:dyDescent="0.2">
      <c r="A305" s="11"/>
    </row>
    <row r="306" spans="1:1" ht="14.25" customHeight="1" x14ac:dyDescent="0.2">
      <c r="A306" s="11"/>
    </row>
    <row r="307" spans="1:1" ht="14.25" customHeight="1" x14ac:dyDescent="0.2">
      <c r="A307" s="11"/>
    </row>
    <row r="308" spans="1:1" ht="14.25" customHeight="1" x14ac:dyDescent="0.2">
      <c r="A308" s="11"/>
    </row>
    <row r="309" spans="1:1" ht="14.25" customHeight="1" x14ac:dyDescent="0.2">
      <c r="A309" s="11"/>
    </row>
    <row r="310" spans="1:1" ht="14.25" customHeight="1" x14ac:dyDescent="0.2">
      <c r="A310" s="11"/>
    </row>
    <row r="311" spans="1:1" ht="14.25" customHeight="1" x14ac:dyDescent="0.2">
      <c r="A311" s="11"/>
    </row>
    <row r="312" spans="1:1" ht="14.25" customHeight="1" x14ac:dyDescent="0.2">
      <c r="A312" s="11"/>
    </row>
    <row r="313" spans="1:1" ht="14.25" customHeight="1" x14ac:dyDescent="0.2">
      <c r="A313" s="11"/>
    </row>
    <row r="314" spans="1:1" ht="14.25" customHeight="1" x14ac:dyDescent="0.2">
      <c r="A314" s="11"/>
    </row>
    <row r="315" spans="1:1" ht="14.25" customHeight="1" x14ac:dyDescent="0.2">
      <c r="A315" s="11"/>
    </row>
    <row r="316" spans="1:1" ht="14.25" customHeight="1" x14ac:dyDescent="0.2">
      <c r="A316" s="11"/>
    </row>
    <row r="317" spans="1:1" ht="14.25" customHeight="1" x14ac:dyDescent="0.2">
      <c r="A317" s="11"/>
    </row>
    <row r="318" spans="1:1" ht="14.25" customHeight="1" x14ac:dyDescent="0.2">
      <c r="A318" s="11"/>
    </row>
    <row r="319" spans="1:1" ht="14.25" customHeight="1" x14ac:dyDescent="0.2">
      <c r="A319" s="11"/>
    </row>
    <row r="320" spans="1:1" ht="14.25" customHeight="1" x14ac:dyDescent="0.2">
      <c r="A320" s="11"/>
    </row>
    <row r="321" spans="1:1" ht="14.25" customHeight="1" x14ac:dyDescent="0.2">
      <c r="A321" s="11"/>
    </row>
    <row r="322" spans="1:1" ht="14.25" customHeight="1" x14ac:dyDescent="0.2">
      <c r="A322" s="11"/>
    </row>
    <row r="323" spans="1:1" ht="14.25" customHeight="1" x14ac:dyDescent="0.2">
      <c r="A323" s="11"/>
    </row>
    <row r="324" spans="1:1" ht="14.25" customHeight="1" x14ac:dyDescent="0.2">
      <c r="A324" s="11"/>
    </row>
    <row r="325" spans="1:1" ht="14.25" customHeight="1" x14ac:dyDescent="0.2">
      <c r="A325" s="11"/>
    </row>
    <row r="326" spans="1:1" ht="14.25" customHeight="1" x14ac:dyDescent="0.2">
      <c r="A326" s="11"/>
    </row>
    <row r="327" spans="1:1" ht="14.25" customHeight="1" x14ac:dyDescent="0.2">
      <c r="A327" s="11"/>
    </row>
    <row r="328" spans="1:1" ht="14.25" customHeight="1" x14ac:dyDescent="0.2">
      <c r="A328" s="11"/>
    </row>
    <row r="329" spans="1:1" ht="14.25" customHeight="1" x14ac:dyDescent="0.2">
      <c r="A329" s="11"/>
    </row>
    <row r="330" spans="1:1" ht="14.25" customHeight="1" x14ac:dyDescent="0.2">
      <c r="A330" s="11"/>
    </row>
    <row r="331" spans="1:1" ht="14.25" customHeight="1" x14ac:dyDescent="0.2">
      <c r="A331" s="11"/>
    </row>
    <row r="332" spans="1:1" ht="14.25" customHeight="1" x14ac:dyDescent="0.2">
      <c r="A332" s="11"/>
    </row>
    <row r="333" spans="1:1" ht="14.25" customHeight="1" x14ac:dyDescent="0.2">
      <c r="A333" s="11"/>
    </row>
    <row r="334" spans="1:1" ht="14.25" customHeight="1" x14ac:dyDescent="0.2">
      <c r="A334" s="11"/>
    </row>
    <row r="335" spans="1:1" ht="14.25" customHeight="1" x14ac:dyDescent="0.2">
      <c r="A335" s="11"/>
    </row>
    <row r="336" spans="1:1" ht="14.25" customHeight="1" x14ac:dyDescent="0.2">
      <c r="A336" s="11"/>
    </row>
    <row r="337" spans="1:1" ht="14.25" customHeight="1" x14ac:dyDescent="0.2">
      <c r="A337" s="11"/>
    </row>
    <row r="338" spans="1:1" ht="14.25" customHeight="1" x14ac:dyDescent="0.2">
      <c r="A338" s="11"/>
    </row>
    <row r="339" spans="1:1" ht="14.25" customHeight="1" x14ac:dyDescent="0.2">
      <c r="A339" s="11"/>
    </row>
    <row r="340" spans="1:1" ht="14.25" customHeight="1" x14ac:dyDescent="0.2">
      <c r="A340" s="11"/>
    </row>
    <row r="341" spans="1:1" ht="14.25" customHeight="1" x14ac:dyDescent="0.2">
      <c r="A341" s="11"/>
    </row>
    <row r="342" spans="1:1" ht="14.25" customHeight="1" x14ac:dyDescent="0.2">
      <c r="A342" s="11"/>
    </row>
    <row r="343" spans="1:1" ht="14.25" customHeight="1" x14ac:dyDescent="0.2">
      <c r="A343" s="11"/>
    </row>
    <row r="344" spans="1:1" ht="14.25" customHeight="1" x14ac:dyDescent="0.2">
      <c r="A344" s="11"/>
    </row>
    <row r="345" spans="1:1" ht="14.25" customHeight="1" x14ac:dyDescent="0.2">
      <c r="A345" s="11"/>
    </row>
    <row r="346" spans="1:1" ht="14.25" customHeight="1" x14ac:dyDescent="0.2">
      <c r="A346" s="11"/>
    </row>
    <row r="347" spans="1:1" ht="14.25" customHeight="1" x14ac:dyDescent="0.2">
      <c r="A347" s="11"/>
    </row>
    <row r="348" spans="1:1" ht="14.25" customHeight="1" x14ac:dyDescent="0.2">
      <c r="A348" s="11"/>
    </row>
    <row r="349" spans="1:1" ht="14.25" customHeight="1" x14ac:dyDescent="0.2">
      <c r="A349" s="11"/>
    </row>
    <row r="350" spans="1:1" ht="14.25" customHeight="1" x14ac:dyDescent="0.2">
      <c r="A350" s="11"/>
    </row>
    <row r="351" spans="1:1" ht="14.25" customHeight="1" x14ac:dyDescent="0.2">
      <c r="A351" s="11"/>
    </row>
    <row r="352" spans="1:1" ht="14.25" customHeight="1" x14ac:dyDescent="0.2">
      <c r="A352" s="11"/>
    </row>
    <row r="353" spans="1:1" ht="14.25" customHeight="1" x14ac:dyDescent="0.2">
      <c r="A353" s="11"/>
    </row>
    <row r="354" spans="1:1" ht="14.25" customHeight="1" x14ac:dyDescent="0.2">
      <c r="A354" s="11"/>
    </row>
    <row r="355" spans="1:1" ht="14.25" customHeight="1" x14ac:dyDescent="0.2">
      <c r="A355" s="11"/>
    </row>
    <row r="356" spans="1:1" ht="14.25" customHeight="1" x14ac:dyDescent="0.2">
      <c r="A356" s="11"/>
    </row>
    <row r="357" spans="1:1" ht="14.25" customHeight="1" x14ac:dyDescent="0.2">
      <c r="A357" s="11"/>
    </row>
    <row r="358" spans="1:1" ht="14.25" customHeight="1" x14ac:dyDescent="0.2">
      <c r="A358" s="11"/>
    </row>
    <row r="359" spans="1:1" ht="14.25" customHeight="1" x14ac:dyDescent="0.2">
      <c r="A359" s="11"/>
    </row>
    <row r="360" spans="1:1" ht="14.25" customHeight="1" x14ac:dyDescent="0.2">
      <c r="A360" s="11"/>
    </row>
    <row r="361" spans="1:1" ht="14.25" customHeight="1" x14ac:dyDescent="0.2">
      <c r="A361" s="11"/>
    </row>
    <row r="362" spans="1:1" ht="14.25" customHeight="1" x14ac:dyDescent="0.2">
      <c r="A362" s="11"/>
    </row>
    <row r="363" spans="1:1" ht="14.25" customHeight="1" x14ac:dyDescent="0.2">
      <c r="A363" s="11"/>
    </row>
    <row r="364" spans="1:1" ht="14.25" customHeight="1" x14ac:dyDescent="0.2">
      <c r="A364" s="11"/>
    </row>
    <row r="365" spans="1:1" ht="14.25" customHeight="1" x14ac:dyDescent="0.2">
      <c r="A365" s="11"/>
    </row>
    <row r="366" spans="1:1" ht="14.25" customHeight="1" x14ac:dyDescent="0.2">
      <c r="A366" s="11"/>
    </row>
    <row r="367" spans="1:1" ht="14.25" customHeight="1" x14ac:dyDescent="0.2">
      <c r="A367" s="11"/>
    </row>
    <row r="368" spans="1:1" ht="14.25" customHeight="1" x14ac:dyDescent="0.2">
      <c r="A368" s="11"/>
    </row>
    <row r="369" spans="1:1" ht="14.25" customHeight="1" x14ac:dyDescent="0.2">
      <c r="A369" s="11"/>
    </row>
    <row r="370" spans="1:1" ht="14.25" customHeight="1" x14ac:dyDescent="0.2">
      <c r="A370" s="11"/>
    </row>
    <row r="371" spans="1:1" ht="14.25" customHeight="1" x14ac:dyDescent="0.2">
      <c r="A371" s="11"/>
    </row>
    <row r="372" spans="1:1" ht="14.25" customHeight="1" x14ac:dyDescent="0.2">
      <c r="A372" s="11"/>
    </row>
    <row r="373" spans="1:1" ht="14.25" customHeight="1" x14ac:dyDescent="0.2">
      <c r="A373" s="11"/>
    </row>
    <row r="374" spans="1:1" ht="14.25" customHeight="1" x14ac:dyDescent="0.2">
      <c r="A374" s="11"/>
    </row>
    <row r="375" spans="1:1" ht="14.25" customHeight="1" x14ac:dyDescent="0.2">
      <c r="A375" s="11"/>
    </row>
    <row r="376" spans="1:1" ht="14.25" customHeight="1" x14ac:dyDescent="0.2">
      <c r="A376" s="11"/>
    </row>
    <row r="377" spans="1:1" ht="14.25" customHeight="1" x14ac:dyDescent="0.2">
      <c r="A377" s="11"/>
    </row>
    <row r="378" spans="1:1" ht="14.25" customHeight="1" x14ac:dyDescent="0.2">
      <c r="A378" s="11"/>
    </row>
    <row r="379" spans="1:1" ht="14.25" customHeight="1" x14ac:dyDescent="0.2">
      <c r="A379" s="11"/>
    </row>
    <row r="380" spans="1:1" ht="14.25" customHeight="1" x14ac:dyDescent="0.2">
      <c r="A380" s="11"/>
    </row>
    <row r="381" spans="1:1" ht="14.25" customHeight="1" x14ac:dyDescent="0.2">
      <c r="A381" s="11"/>
    </row>
    <row r="382" spans="1:1" ht="14.25" customHeight="1" x14ac:dyDescent="0.2">
      <c r="A382" s="11"/>
    </row>
    <row r="383" spans="1:1" ht="14.25" customHeight="1" x14ac:dyDescent="0.2">
      <c r="A383" s="11"/>
    </row>
    <row r="384" spans="1:1" ht="14.25" customHeight="1" x14ac:dyDescent="0.2">
      <c r="A384" s="11"/>
    </row>
    <row r="385" spans="1:1" ht="14.25" customHeight="1" x14ac:dyDescent="0.2">
      <c r="A385" s="11"/>
    </row>
    <row r="386" spans="1:1" ht="14.25" customHeight="1" x14ac:dyDescent="0.2">
      <c r="A386" s="11"/>
    </row>
    <row r="387" spans="1:1" ht="14.25" customHeight="1" x14ac:dyDescent="0.2">
      <c r="A387" s="11"/>
    </row>
    <row r="388" spans="1:1" ht="14.25" customHeight="1" x14ac:dyDescent="0.2">
      <c r="A388" s="11"/>
    </row>
    <row r="389" spans="1:1" ht="14.25" customHeight="1" x14ac:dyDescent="0.2">
      <c r="A389" s="11"/>
    </row>
    <row r="390" spans="1:1" ht="14.25" customHeight="1" x14ac:dyDescent="0.2">
      <c r="A390" s="11"/>
    </row>
    <row r="391" spans="1:1" ht="14.25" customHeight="1" x14ac:dyDescent="0.2">
      <c r="A391" s="11"/>
    </row>
    <row r="392" spans="1:1" ht="14.25" customHeight="1" x14ac:dyDescent="0.2">
      <c r="A392" s="11"/>
    </row>
    <row r="393" spans="1:1" ht="14.25" customHeight="1" x14ac:dyDescent="0.2">
      <c r="A393" s="11"/>
    </row>
    <row r="394" spans="1:1" ht="14.25" customHeight="1" x14ac:dyDescent="0.2">
      <c r="A394" s="11"/>
    </row>
    <row r="395" spans="1:1" ht="14.25" customHeight="1" x14ac:dyDescent="0.2">
      <c r="A395" s="11"/>
    </row>
    <row r="396" spans="1:1" ht="14.25" customHeight="1" x14ac:dyDescent="0.2">
      <c r="A396" s="11"/>
    </row>
    <row r="397" spans="1:1" ht="14.25" customHeight="1" x14ac:dyDescent="0.2">
      <c r="A397" s="11"/>
    </row>
    <row r="398" spans="1:1" ht="14.25" customHeight="1" x14ac:dyDescent="0.2">
      <c r="A398" s="11"/>
    </row>
    <row r="399" spans="1:1" ht="14.25" customHeight="1" x14ac:dyDescent="0.2">
      <c r="A399" s="11"/>
    </row>
    <row r="400" spans="1:1" ht="14.25" customHeight="1" x14ac:dyDescent="0.2">
      <c r="A400" s="11"/>
    </row>
    <row r="401" spans="1:1" ht="14.25" customHeight="1" x14ac:dyDescent="0.2">
      <c r="A401" s="11"/>
    </row>
    <row r="402" spans="1:1" ht="14.25" customHeight="1" x14ac:dyDescent="0.2">
      <c r="A402" s="11"/>
    </row>
    <row r="403" spans="1:1" ht="14.25" customHeight="1" x14ac:dyDescent="0.2">
      <c r="A403" s="11"/>
    </row>
    <row r="404" spans="1:1" ht="14.25" customHeight="1" x14ac:dyDescent="0.2">
      <c r="A404" s="11"/>
    </row>
    <row r="405" spans="1:1" ht="14.25" customHeight="1" x14ac:dyDescent="0.2">
      <c r="A405" s="11"/>
    </row>
    <row r="406" spans="1:1" ht="14.25" customHeight="1" x14ac:dyDescent="0.2">
      <c r="A406" s="11"/>
    </row>
    <row r="407" spans="1:1" ht="14.25" customHeight="1" x14ac:dyDescent="0.2">
      <c r="A407" s="11"/>
    </row>
    <row r="408" spans="1:1" ht="14.25" customHeight="1" x14ac:dyDescent="0.2">
      <c r="A408" s="11"/>
    </row>
    <row r="409" spans="1:1" ht="14.25" customHeight="1" x14ac:dyDescent="0.2">
      <c r="A409" s="11"/>
    </row>
    <row r="410" spans="1:1" ht="14.25" customHeight="1" x14ac:dyDescent="0.2">
      <c r="A410" s="11"/>
    </row>
    <row r="411" spans="1:1" ht="14.25" customHeight="1" x14ac:dyDescent="0.2">
      <c r="A411" s="11"/>
    </row>
    <row r="412" spans="1:1" ht="14.25" customHeight="1" x14ac:dyDescent="0.2">
      <c r="A412" s="11"/>
    </row>
    <row r="413" spans="1:1" ht="14.25" customHeight="1" x14ac:dyDescent="0.2">
      <c r="A413" s="11"/>
    </row>
    <row r="414" spans="1:1" ht="14.25" customHeight="1" x14ac:dyDescent="0.2">
      <c r="A414" s="11"/>
    </row>
    <row r="415" spans="1:1" ht="14.25" customHeight="1" x14ac:dyDescent="0.2">
      <c r="A415" s="11"/>
    </row>
    <row r="416" spans="1:1" ht="14.25" customHeight="1" x14ac:dyDescent="0.2">
      <c r="A416" s="11"/>
    </row>
    <row r="417" spans="1:1" ht="14.25" customHeight="1" x14ac:dyDescent="0.2">
      <c r="A417" s="11"/>
    </row>
    <row r="418" spans="1:1" ht="14.25" customHeight="1" x14ac:dyDescent="0.2">
      <c r="A418" s="11"/>
    </row>
    <row r="419" spans="1:1" ht="14.25" customHeight="1" x14ac:dyDescent="0.2">
      <c r="A419" s="11"/>
    </row>
    <row r="420" spans="1:1" ht="14.25" customHeight="1" x14ac:dyDescent="0.2">
      <c r="A420" s="11"/>
    </row>
    <row r="421" spans="1:1" ht="14.25" customHeight="1" x14ac:dyDescent="0.2">
      <c r="A421" s="11"/>
    </row>
    <row r="422" spans="1:1" ht="14.25" customHeight="1" x14ac:dyDescent="0.2">
      <c r="A422" s="11"/>
    </row>
    <row r="423" spans="1:1" ht="14.25" customHeight="1" x14ac:dyDescent="0.2">
      <c r="A423" s="11"/>
    </row>
    <row r="424" spans="1:1" ht="14.25" customHeight="1" x14ac:dyDescent="0.2">
      <c r="A424" s="11"/>
    </row>
    <row r="425" spans="1:1" ht="14.25" customHeight="1" x14ac:dyDescent="0.2">
      <c r="A425" s="11"/>
    </row>
    <row r="426" spans="1:1" ht="14.25" customHeight="1" x14ac:dyDescent="0.2">
      <c r="A426" s="11"/>
    </row>
    <row r="427" spans="1:1" ht="14.25" customHeight="1" x14ac:dyDescent="0.2">
      <c r="A427" s="11"/>
    </row>
    <row r="428" spans="1:1" ht="14.25" customHeight="1" x14ac:dyDescent="0.2">
      <c r="A428" s="11"/>
    </row>
    <row r="429" spans="1:1" ht="14.25" customHeight="1" x14ac:dyDescent="0.2">
      <c r="A429" s="11"/>
    </row>
    <row r="430" spans="1:1" ht="14.25" customHeight="1" x14ac:dyDescent="0.2">
      <c r="A430" s="11"/>
    </row>
    <row r="431" spans="1:1" ht="14.25" customHeight="1" x14ac:dyDescent="0.2">
      <c r="A431" s="11"/>
    </row>
    <row r="432" spans="1:1" ht="14.25" customHeight="1" x14ac:dyDescent="0.2">
      <c r="A432" s="11"/>
    </row>
    <row r="433" spans="1:1" ht="14.25" customHeight="1" x14ac:dyDescent="0.2">
      <c r="A433" s="11"/>
    </row>
    <row r="434" spans="1:1" ht="14.25" customHeight="1" x14ac:dyDescent="0.2">
      <c r="A434" s="11"/>
    </row>
    <row r="435" spans="1:1" ht="14.25" customHeight="1" x14ac:dyDescent="0.2">
      <c r="A435" s="11"/>
    </row>
    <row r="436" spans="1:1" ht="14.25" customHeight="1" x14ac:dyDescent="0.2">
      <c r="A436" s="11"/>
    </row>
    <row r="437" spans="1:1" ht="14.25" customHeight="1" x14ac:dyDescent="0.2">
      <c r="A437" s="11"/>
    </row>
    <row r="438" spans="1:1" ht="14.25" customHeight="1" x14ac:dyDescent="0.2">
      <c r="A438" s="11"/>
    </row>
    <row r="439" spans="1:1" ht="14.25" customHeight="1" x14ac:dyDescent="0.2">
      <c r="A439" s="11"/>
    </row>
    <row r="440" spans="1:1" ht="14.25" customHeight="1" x14ac:dyDescent="0.2">
      <c r="A440" s="11"/>
    </row>
    <row r="441" spans="1:1" ht="14.25" customHeight="1" x14ac:dyDescent="0.2">
      <c r="A441" s="11"/>
    </row>
    <row r="442" spans="1:1" ht="14.25" customHeight="1" x14ac:dyDescent="0.2">
      <c r="A442" s="11"/>
    </row>
    <row r="443" spans="1:1" ht="14.25" customHeight="1" x14ac:dyDescent="0.2">
      <c r="A443" s="11"/>
    </row>
    <row r="444" spans="1:1" ht="14.25" customHeight="1" x14ac:dyDescent="0.2">
      <c r="A444" s="11"/>
    </row>
    <row r="445" spans="1:1" ht="14.25" customHeight="1" x14ac:dyDescent="0.2">
      <c r="A445" s="11"/>
    </row>
    <row r="446" spans="1:1" ht="14.25" customHeight="1" x14ac:dyDescent="0.2">
      <c r="A446" s="11"/>
    </row>
    <row r="447" spans="1:1" ht="14.25" customHeight="1" x14ac:dyDescent="0.2">
      <c r="A447" s="11"/>
    </row>
    <row r="448" spans="1:1" ht="14.25" customHeight="1" x14ac:dyDescent="0.2">
      <c r="A448" s="11"/>
    </row>
    <row r="449" spans="1:1" ht="14.25" customHeight="1" x14ac:dyDescent="0.2">
      <c r="A449" s="11"/>
    </row>
    <row r="450" spans="1:1" ht="14.25" customHeight="1" x14ac:dyDescent="0.2">
      <c r="A450" s="11"/>
    </row>
    <row r="451" spans="1:1" ht="14.25" customHeight="1" x14ac:dyDescent="0.2">
      <c r="A451" s="11"/>
    </row>
    <row r="452" spans="1:1" ht="14.25" customHeight="1" x14ac:dyDescent="0.2">
      <c r="A452" s="11"/>
    </row>
    <row r="453" spans="1:1" ht="14.25" customHeight="1" x14ac:dyDescent="0.2">
      <c r="A453" s="11"/>
    </row>
    <row r="454" spans="1:1" ht="14.25" customHeight="1" x14ac:dyDescent="0.2">
      <c r="A454" s="11"/>
    </row>
    <row r="455" spans="1:1" ht="14.25" customHeight="1" x14ac:dyDescent="0.2">
      <c r="A455" s="11"/>
    </row>
    <row r="456" spans="1:1" ht="14.25" customHeight="1" x14ac:dyDescent="0.2">
      <c r="A456" s="11"/>
    </row>
    <row r="457" spans="1:1" ht="14.25" customHeight="1" x14ac:dyDescent="0.2">
      <c r="A457" s="11"/>
    </row>
    <row r="458" spans="1:1" ht="14.25" customHeight="1" x14ac:dyDescent="0.2">
      <c r="A458" s="11"/>
    </row>
    <row r="459" spans="1:1" ht="14.25" customHeight="1" x14ac:dyDescent="0.2">
      <c r="A459" s="11"/>
    </row>
    <row r="460" spans="1:1" ht="14.25" customHeight="1" x14ac:dyDescent="0.2">
      <c r="A460" s="11"/>
    </row>
    <row r="461" spans="1:1" ht="14.25" customHeight="1" x14ac:dyDescent="0.2">
      <c r="A461" s="11"/>
    </row>
    <row r="462" spans="1:1" ht="14.25" customHeight="1" x14ac:dyDescent="0.2">
      <c r="A462" s="11"/>
    </row>
    <row r="463" spans="1:1" ht="14.25" customHeight="1" x14ac:dyDescent="0.2">
      <c r="A463" s="11"/>
    </row>
    <row r="464" spans="1:1" ht="14.25" customHeight="1" x14ac:dyDescent="0.2">
      <c r="A464" s="11"/>
    </row>
    <row r="465" spans="1:1" ht="14.25" customHeight="1" x14ac:dyDescent="0.2">
      <c r="A465" s="11"/>
    </row>
    <row r="466" spans="1:1" ht="14.25" customHeight="1" x14ac:dyDescent="0.2">
      <c r="A466" s="11"/>
    </row>
    <row r="467" spans="1:1" ht="14.25" customHeight="1" x14ac:dyDescent="0.2">
      <c r="A467" s="11"/>
    </row>
    <row r="468" spans="1:1" ht="14.25" customHeight="1" x14ac:dyDescent="0.2">
      <c r="A468" s="11"/>
    </row>
    <row r="469" spans="1:1" ht="14.25" customHeight="1" x14ac:dyDescent="0.2">
      <c r="A469" s="11"/>
    </row>
    <row r="470" spans="1:1" ht="14.25" customHeight="1" x14ac:dyDescent="0.2">
      <c r="A470" s="11"/>
    </row>
    <row r="471" spans="1:1" ht="14.25" customHeight="1" x14ac:dyDescent="0.2">
      <c r="A471" s="11"/>
    </row>
    <row r="472" spans="1:1" ht="14.25" customHeight="1" x14ac:dyDescent="0.2">
      <c r="A472" s="11"/>
    </row>
    <row r="473" spans="1:1" ht="14.25" customHeight="1" x14ac:dyDescent="0.2">
      <c r="A473" s="11"/>
    </row>
    <row r="474" spans="1:1" ht="14.25" customHeight="1" x14ac:dyDescent="0.2">
      <c r="A474" s="11"/>
    </row>
    <row r="475" spans="1:1" ht="14.25" customHeight="1" x14ac:dyDescent="0.2">
      <c r="A475" s="11"/>
    </row>
    <row r="476" spans="1:1" ht="14.25" customHeight="1" x14ac:dyDescent="0.2">
      <c r="A476" s="11"/>
    </row>
    <row r="477" spans="1:1" ht="14.25" customHeight="1" x14ac:dyDescent="0.2">
      <c r="A477" s="11"/>
    </row>
    <row r="478" spans="1:1" ht="14.25" customHeight="1" x14ac:dyDescent="0.2">
      <c r="A478" s="11"/>
    </row>
    <row r="479" spans="1:1" ht="14.25" customHeight="1" x14ac:dyDescent="0.2">
      <c r="A479" s="11"/>
    </row>
    <row r="480" spans="1:1" ht="14.25" customHeight="1" x14ac:dyDescent="0.2">
      <c r="A480" s="11"/>
    </row>
    <row r="481" spans="1:1" ht="14.25" customHeight="1" x14ac:dyDescent="0.2">
      <c r="A481" s="11"/>
    </row>
    <row r="482" spans="1:1" ht="14.25" customHeight="1" x14ac:dyDescent="0.2">
      <c r="A482" s="11"/>
    </row>
    <row r="483" spans="1:1" ht="14.25" customHeight="1" x14ac:dyDescent="0.2">
      <c r="A483" s="11"/>
    </row>
    <row r="484" spans="1:1" ht="14.25" customHeight="1" x14ac:dyDescent="0.2">
      <c r="A484" s="11"/>
    </row>
    <row r="485" spans="1:1" ht="14.25" customHeight="1" x14ac:dyDescent="0.2">
      <c r="A485" s="11"/>
    </row>
    <row r="486" spans="1:1" ht="14.25" customHeight="1" x14ac:dyDescent="0.2">
      <c r="A486" s="11"/>
    </row>
    <row r="487" spans="1:1" ht="14.25" customHeight="1" x14ac:dyDescent="0.2">
      <c r="A487" s="11"/>
    </row>
    <row r="488" spans="1:1" ht="14.25" customHeight="1" x14ac:dyDescent="0.2">
      <c r="A488" s="11"/>
    </row>
    <row r="489" spans="1:1" ht="14.25" customHeight="1" x14ac:dyDescent="0.2">
      <c r="A489" s="11"/>
    </row>
    <row r="490" spans="1:1" ht="14.25" customHeight="1" x14ac:dyDescent="0.2">
      <c r="A490" s="11"/>
    </row>
    <row r="491" spans="1:1" ht="14.25" customHeight="1" x14ac:dyDescent="0.2">
      <c r="A491" s="11"/>
    </row>
    <row r="492" spans="1:1" ht="14.25" customHeight="1" x14ac:dyDescent="0.2">
      <c r="A492" s="11"/>
    </row>
    <row r="493" spans="1:1" ht="14.25" customHeight="1" x14ac:dyDescent="0.2">
      <c r="A493" s="11"/>
    </row>
    <row r="494" spans="1:1" ht="14.25" customHeight="1" x14ac:dyDescent="0.2">
      <c r="A494" s="11"/>
    </row>
    <row r="495" spans="1:1" ht="14.25" customHeight="1" x14ac:dyDescent="0.2">
      <c r="A495" s="11"/>
    </row>
    <row r="496" spans="1:1" ht="14.25" customHeight="1" x14ac:dyDescent="0.2">
      <c r="A496" s="11"/>
    </row>
    <row r="497" spans="1:1" ht="14.25" customHeight="1" x14ac:dyDescent="0.2">
      <c r="A497" s="11"/>
    </row>
    <row r="498" spans="1:1" ht="14.25" customHeight="1" x14ac:dyDescent="0.2">
      <c r="A498" s="11"/>
    </row>
    <row r="499" spans="1:1" ht="14.25" customHeight="1" x14ac:dyDescent="0.2">
      <c r="A499" s="11"/>
    </row>
    <row r="500" spans="1:1" ht="14.25" customHeight="1" x14ac:dyDescent="0.2">
      <c r="A500" s="11"/>
    </row>
    <row r="501" spans="1:1" ht="14.25" customHeight="1" x14ac:dyDescent="0.2">
      <c r="A501" s="11"/>
    </row>
    <row r="502" spans="1:1" ht="14.25" customHeight="1" x14ac:dyDescent="0.2">
      <c r="A502" s="11"/>
    </row>
    <row r="503" spans="1:1" ht="14.25" customHeight="1" x14ac:dyDescent="0.2">
      <c r="A503" s="11"/>
    </row>
    <row r="504" spans="1:1" ht="14.25" customHeight="1" x14ac:dyDescent="0.2">
      <c r="A504" s="11"/>
    </row>
    <row r="505" spans="1:1" ht="14.25" customHeight="1" x14ac:dyDescent="0.2">
      <c r="A505" s="11"/>
    </row>
    <row r="506" spans="1:1" ht="14.25" customHeight="1" x14ac:dyDescent="0.2">
      <c r="A506" s="11"/>
    </row>
    <row r="507" spans="1:1" ht="14.25" customHeight="1" x14ac:dyDescent="0.2">
      <c r="A507" s="11"/>
    </row>
    <row r="508" spans="1:1" ht="14.25" customHeight="1" x14ac:dyDescent="0.2">
      <c r="A508" s="11"/>
    </row>
    <row r="509" spans="1:1" ht="14.25" customHeight="1" x14ac:dyDescent="0.2">
      <c r="A509" s="11"/>
    </row>
    <row r="510" spans="1:1" ht="14.25" customHeight="1" x14ac:dyDescent="0.2">
      <c r="A510" s="11"/>
    </row>
    <row r="511" spans="1:1" ht="14.25" customHeight="1" x14ac:dyDescent="0.2">
      <c r="A511" s="11"/>
    </row>
    <row r="512" spans="1:1" ht="14.25" customHeight="1" x14ac:dyDescent="0.2">
      <c r="A512" s="11"/>
    </row>
    <row r="513" spans="1:1" ht="14.25" customHeight="1" x14ac:dyDescent="0.2">
      <c r="A513" s="11"/>
    </row>
    <row r="514" spans="1:1" ht="14.25" customHeight="1" x14ac:dyDescent="0.2">
      <c r="A514" s="11"/>
    </row>
    <row r="515" spans="1:1" ht="14.25" customHeight="1" x14ac:dyDescent="0.2">
      <c r="A515" s="11"/>
    </row>
    <row r="516" spans="1:1" ht="14.25" customHeight="1" x14ac:dyDescent="0.2">
      <c r="A516" s="11"/>
    </row>
    <row r="517" spans="1:1" ht="14.25" customHeight="1" x14ac:dyDescent="0.2">
      <c r="A517" s="11"/>
    </row>
    <row r="518" spans="1:1" ht="14.25" customHeight="1" x14ac:dyDescent="0.2">
      <c r="A518" s="11"/>
    </row>
    <row r="519" spans="1:1" ht="14.25" customHeight="1" x14ac:dyDescent="0.2">
      <c r="A519" s="11"/>
    </row>
    <row r="520" spans="1:1" ht="14.25" customHeight="1" x14ac:dyDescent="0.2">
      <c r="A520" s="11"/>
    </row>
    <row r="521" spans="1:1" ht="14.25" customHeight="1" x14ac:dyDescent="0.2">
      <c r="A521" s="11"/>
    </row>
    <row r="522" spans="1:1" ht="14.25" customHeight="1" x14ac:dyDescent="0.2">
      <c r="A522" s="11"/>
    </row>
    <row r="523" spans="1:1" ht="14.25" customHeight="1" x14ac:dyDescent="0.2">
      <c r="A523" s="11"/>
    </row>
    <row r="524" spans="1:1" ht="14.25" customHeight="1" x14ac:dyDescent="0.2">
      <c r="A524" s="11"/>
    </row>
    <row r="525" spans="1:1" ht="14.25" customHeight="1" x14ac:dyDescent="0.2">
      <c r="A525" s="11"/>
    </row>
    <row r="526" spans="1:1" ht="14.25" customHeight="1" x14ac:dyDescent="0.2">
      <c r="A526" s="11"/>
    </row>
    <row r="527" spans="1:1" ht="14.25" customHeight="1" x14ac:dyDescent="0.2">
      <c r="A527" s="11"/>
    </row>
    <row r="528" spans="1:1" ht="14.25" customHeight="1" x14ac:dyDescent="0.2">
      <c r="A528" s="11"/>
    </row>
    <row r="529" spans="1:1" ht="14.25" customHeight="1" x14ac:dyDescent="0.2">
      <c r="A529" s="11"/>
    </row>
    <row r="530" spans="1:1" ht="14.25" customHeight="1" x14ac:dyDescent="0.2">
      <c r="A530" s="11"/>
    </row>
    <row r="531" spans="1:1" ht="14.25" customHeight="1" x14ac:dyDescent="0.2">
      <c r="A531" s="11"/>
    </row>
    <row r="532" spans="1:1" ht="14.25" customHeight="1" x14ac:dyDescent="0.2">
      <c r="A532" s="11"/>
    </row>
    <row r="533" spans="1:1" ht="14.25" customHeight="1" x14ac:dyDescent="0.2">
      <c r="A533" s="11"/>
    </row>
    <row r="534" spans="1:1" ht="14.25" customHeight="1" x14ac:dyDescent="0.2">
      <c r="A534" s="11"/>
    </row>
    <row r="535" spans="1:1" ht="14.25" customHeight="1" x14ac:dyDescent="0.2">
      <c r="A535" s="11"/>
    </row>
    <row r="536" spans="1:1" ht="14.25" customHeight="1" x14ac:dyDescent="0.2">
      <c r="A536" s="11"/>
    </row>
    <row r="537" spans="1:1" ht="14.25" customHeight="1" x14ac:dyDescent="0.2">
      <c r="A537" s="11"/>
    </row>
    <row r="538" spans="1:1" ht="14.25" customHeight="1" x14ac:dyDescent="0.2">
      <c r="A538" s="11"/>
    </row>
    <row r="539" spans="1:1" ht="14.25" customHeight="1" x14ac:dyDescent="0.2">
      <c r="A539" s="11"/>
    </row>
    <row r="540" spans="1:1" ht="14.25" customHeight="1" x14ac:dyDescent="0.2">
      <c r="A540" s="11"/>
    </row>
    <row r="541" spans="1:1" ht="14.25" customHeight="1" x14ac:dyDescent="0.2">
      <c r="A541" s="11"/>
    </row>
    <row r="542" spans="1:1" ht="14.25" customHeight="1" x14ac:dyDescent="0.2">
      <c r="A542" s="11"/>
    </row>
    <row r="543" spans="1:1" ht="14.25" customHeight="1" x14ac:dyDescent="0.2">
      <c r="A543" s="11"/>
    </row>
    <row r="544" spans="1:1" ht="14.25" customHeight="1" x14ac:dyDescent="0.2">
      <c r="A544" s="11"/>
    </row>
    <row r="545" spans="1:1" ht="14.25" customHeight="1" x14ac:dyDescent="0.2">
      <c r="A545" s="11"/>
    </row>
    <row r="546" spans="1:1" ht="14.25" customHeight="1" x14ac:dyDescent="0.2">
      <c r="A546" s="11"/>
    </row>
    <row r="547" spans="1:1" ht="14.25" customHeight="1" x14ac:dyDescent="0.2">
      <c r="A547" s="11"/>
    </row>
    <row r="548" spans="1:1" ht="14.25" customHeight="1" x14ac:dyDescent="0.2">
      <c r="A548" s="11"/>
    </row>
    <row r="549" spans="1:1" ht="14.25" customHeight="1" x14ac:dyDescent="0.2">
      <c r="A549" s="11"/>
    </row>
    <row r="550" spans="1:1" ht="14.25" customHeight="1" x14ac:dyDescent="0.2">
      <c r="A550" s="11"/>
    </row>
    <row r="551" spans="1:1" ht="14.25" customHeight="1" x14ac:dyDescent="0.2">
      <c r="A551" s="11"/>
    </row>
    <row r="552" spans="1:1" ht="14.25" customHeight="1" x14ac:dyDescent="0.2">
      <c r="A552" s="11"/>
    </row>
    <row r="553" spans="1:1" ht="14.25" customHeight="1" x14ac:dyDescent="0.2">
      <c r="A553" s="11"/>
    </row>
    <row r="554" spans="1:1" ht="14.25" customHeight="1" x14ac:dyDescent="0.2">
      <c r="A554" s="11"/>
    </row>
    <row r="555" spans="1:1" ht="14.25" customHeight="1" x14ac:dyDescent="0.2">
      <c r="A555" s="11"/>
    </row>
    <row r="556" spans="1:1" ht="14.25" customHeight="1" x14ac:dyDescent="0.2">
      <c r="A556" s="11"/>
    </row>
    <row r="557" spans="1:1" ht="14.25" customHeight="1" x14ac:dyDescent="0.2">
      <c r="A557" s="11"/>
    </row>
    <row r="558" spans="1:1" ht="14.25" customHeight="1" x14ac:dyDescent="0.2">
      <c r="A558" s="11"/>
    </row>
    <row r="559" spans="1:1" ht="14.25" customHeight="1" x14ac:dyDescent="0.2">
      <c r="A559" s="11"/>
    </row>
    <row r="560" spans="1:1" ht="14.25" customHeight="1" x14ac:dyDescent="0.2">
      <c r="A560" s="11"/>
    </row>
    <row r="561" spans="1:1" ht="14.25" customHeight="1" x14ac:dyDescent="0.2">
      <c r="A561" s="11"/>
    </row>
    <row r="562" spans="1:1" ht="14.25" customHeight="1" x14ac:dyDescent="0.2">
      <c r="A562" s="11"/>
    </row>
    <row r="563" spans="1:1" ht="14.25" customHeight="1" x14ac:dyDescent="0.2">
      <c r="A563" s="11"/>
    </row>
    <row r="564" spans="1:1" ht="14.25" customHeight="1" x14ac:dyDescent="0.2">
      <c r="A564" s="11"/>
    </row>
    <row r="565" spans="1:1" ht="14.25" customHeight="1" x14ac:dyDescent="0.2">
      <c r="A565" s="11"/>
    </row>
    <row r="566" spans="1:1" ht="14.25" customHeight="1" x14ac:dyDescent="0.2">
      <c r="A566" s="11"/>
    </row>
    <row r="567" spans="1:1" ht="14.25" customHeight="1" x14ac:dyDescent="0.2">
      <c r="A567" s="11"/>
    </row>
    <row r="568" spans="1:1" ht="14.25" customHeight="1" x14ac:dyDescent="0.2">
      <c r="A568" s="11"/>
    </row>
    <row r="569" spans="1:1" ht="14.25" customHeight="1" x14ac:dyDescent="0.2">
      <c r="A569" s="11"/>
    </row>
    <row r="570" spans="1:1" ht="14.25" customHeight="1" x14ac:dyDescent="0.2">
      <c r="A570" s="11"/>
    </row>
    <row r="571" spans="1:1" ht="14.25" customHeight="1" x14ac:dyDescent="0.2">
      <c r="A571" s="11"/>
    </row>
    <row r="572" spans="1:1" ht="14.25" customHeight="1" x14ac:dyDescent="0.2">
      <c r="A572" s="11"/>
    </row>
    <row r="573" spans="1:1" ht="14.25" customHeight="1" x14ac:dyDescent="0.2">
      <c r="A573" s="11"/>
    </row>
    <row r="574" spans="1:1" ht="14.25" customHeight="1" x14ac:dyDescent="0.2">
      <c r="A574" s="11"/>
    </row>
    <row r="575" spans="1:1" ht="14.25" customHeight="1" x14ac:dyDescent="0.2">
      <c r="A575" s="11"/>
    </row>
    <row r="576" spans="1:1" ht="14.25" customHeight="1" x14ac:dyDescent="0.2">
      <c r="A576" s="11"/>
    </row>
    <row r="577" spans="1:1" ht="14.25" customHeight="1" x14ac:dyDescent="0.2">
      <c r="A577" s="11"/>
    </row>
    <row r="578" spans="1:1" ht="14.25" customHeight="1" x14ac:dyDescent="0.2">
      <c r="A578" s="11"/>
    </row>
    <row r="579" spans="1:1" ht="14.25" customHeight="1" x14ac:dyDescent="0.2">
      <c r="A579" s="11"/>
    </row>
    <row r="580" spans="1:1" ht="14.25" customHeight="1" x14ac:dyDescent="0.2">
      <c r="A580" s="11"/>
    </row>
    <row r="581" spans="1:1" ht="14.25" customHeight="1" x14ac:dyDescent="0.2">
      <c r="A581" s="11"/>
    </row>
    <row r="582" spans="1:1" ht="14.25" customHeight="1" x14ac:dyDescent="0.2">
      <c r="A582" s="11"/>
    </row>
    <row r="583" spans="1:1" ht="14.25" customHeight="1" x14ac:dyDescent="0.2">
      <c r="A583" s="11"/>
    </row>
    <row r="584" spans="1:1" ht="14.25" customHeight="1" x14ac:dyDescent="0.2">
      <c r="A584" s="11"/>
    </row>
    <row r="585" spans="1:1" ht="14.25" customHeight="1" x14ac:dyDescent="0.2">
      <c r="A585" s="11"/>
    </row>
    <row r="586" spans="1:1" ht="14.25" customHeight="1" x14ac:dyDescent="0.2">
      <c r="A586" s="11"/>
    </row>
    <row r="587" spans="1:1" ht="14.25" customHeight="1" x14ac:dyDescent="0.2">
      <c r="A587" s="11"/>
    </row>
    <row r="588" spans="1:1" ht="14.25" customHeight="1" x14ac:dyDescent="0.2">
      <c r="A588" s="11"/>
    </row>
    <row r="589" spans="1:1" ht="14.25" customHeight="1" x14ac:dyDescent="0.2">
      <c r="A589" s="11"/>
    </row>
    <row r="590" spans="1:1" ht="14.25" customHeight="1" x14ac:dyDescent="0.2">
      <c r="A590" s="11"/>
    </row>
    <row r="591" spans="1:1" ht="14.25" customHeight="1" x14ac:dyDescent="0.2">
      <c r="A591" s="11"/>
    </row>
    <row r="592" spans="1:1" ht="14.25" customHeight="1" x14ac:dyDescent="0.2">
      <c r="A592" s="11"/>
    </row>
    <row r="593" spans="1:1" ht="14.25" customHeight="1" x14ac:dyDescent="0.2">
      <c r="A593" s="11"/>
    </row>
    <row r="594" spans="1:1" ht="14.25" customHeight="1" x14ac:dyDescent="0.2">
      <c r="A594" s="11"/>
    </row>
    <row r="595" spans="1:1" ht="14.25" customHeight="1" x14ac:dyDescent="0.2">
      <c r="A595" s="11"/>
    </row>
    <row r="596" spans="1:1" ht="14.25" customHeight="1" x14ac:dyDescent="0.2">
      <c r="A596" s="11"/>
    </row>
    <row r="597" spans="1:1" ht="14.25" customHeight="1" x14ac:dyDescent="0.2">
      <c r="A597" s="11"/>
    </row>
    <row r="598" spans="1:1" ht="14.25" customHeight="1" x14ac:dyDescent="0.2">
      <c r="A598" s="11"/>
    </row>
    <row r="599" spans="1:1" ht="14.25" customHeight="1" x14ac:dyDescent="0.2">
      <c r="A599" s="11"/>
    </row>
    <row r="600" spans="1:1" ht="14.25" customHeight="1" x14ac:dyDescent="0.2">
      <c r="A600" s="11"/>
    </row>
    <row r="601" spans="1:1" ht="14.25" customHeight="1" x14ac:dyDescent="0.2">
      <c r="A601" s="11"/>
    </row>
    <row r="602" spans="1:1" ht="14.25" customHeight="1" x14ac:dyDescent="0.2">
      <c r="A602" s="11"/>
    </row>
    <row r="603" spans="1:1" ht="14.25" customHeight="1" x14ac:dyDescent="0.2">
      <c r="A603" s="11"/>
    </row>
    <row r="604" spans="1:1" ht="14.25" customHeight="1" x14ac:dyDescent="0.2">
      <c r="A604" s="11"/>
    </row>
    <row r="605" spans="1:1" ht="14.25" customHeight="1" x14ac:dyDescent="0.2">
      <c r="A605" s="11"/>
    </row>
    <row r="606" spans="1:1" ht="14.25" customHeight="1" x14ac:dyDescent="0.2">
      <c r="A606" s="11"/>
    </row>
    <row r="607" spans="1:1" ht="14.25" customHeight="1" x14ac:dyDescent="0.2">
      <c r="A607" s="11"/>
    </row>
    <row r="608" spans="1:1" ht="14.25" customHeight="1" x14ac:dyDescent="0.2">
      <c r="A608" s="11"/>
    </row>
    <row r="609" spans="1:1" ht="14.25" customHeight="1" x14ac:dyDescent="0.2">
      <c r="A609" s="11"/>
    </row>
    <row r="610" spans="1:1" ht="14.25" customHeight="1" x14ac:dyDescent="0.2">
      <c r="A610" s="11"/>
    </row>
    <row r="611" spans="1:1" ht="14.25" customHeight="1" x14ac:dyDescent="0.2">
      <c r="A611" s="11"/>
    </row>
    <row r="612" spans="1:1" ht="14.25" customHeight="1" x14ac:dyDescent="0.2">
      <c r="A612" s="11"/>
    </row>
    <row r="613" spans="1:1" ht="14.25" customHeight="1" x14ac:dyDescent="0.2">
      <c r="A613" s="11"/>
    </row>
    <row r="614" spans="1:1" ht="14.25" customHeight="1" x14ac:dyDescent="0.2">
      <c r="A614" s="11"/>
    </row>
    <row r="615" spans="1:1" ht="14.25" customHeight="1" x14ac:dyDescent="0.2">
      <c r="A615" s="11"/>
    </row>
    <row r="616" spans="1:1" ht="14.25" customHeight="1" x14ac:dyDescent="0.2">
      <c r="A616" s="11"/>
    </row>
    <row r="617" spans="1:1" ht="14.25" customHeight="1" x14ac:dyDescent="0.2">
      <c r="A617" s="11"/>
    </row>
    <row r="618" spans="1:1" ht="14.25" customHeight="1" x14ac:dyDescent="0.2">
      <c r="A618" s="11"/>
    </row>
    <row r="619" spans="1:1" ht="14.25" customHeight="1" x14ac:dyDescent="0.2">
      <c r="A619" s="11"/>
    </row>
    <row r="620" spans="1:1" ht="14.25" customHeight="1" x14ac:dyDescent="0.2">
      <c r="A620" s="11"/>
    </row>
    <row r="621" spans="1:1" ht="14.25" customHeight="1" x14ac:dyDescent="0.2">
      <c r="A621" s="11"/>
    </row>
    <row r="622" spans="1:1" ht="14.25" customHeight="1" x14ac:dyDescent="0.2">
      <c r="A622" s="11"/>
    </row>
    <row r="623" spans="1:1" ht="14.25" customHeight="1" x14ac:dyDescent="0.2">
      <c r="A623" s="11"/>
    </row>
    <row r="624" spans="1:1" ht="14.25" customHeight="1" x14ac:dyDescent="0.2">
      <c r="A624" s="11"/>
    </row>
    <row r="625" spans="1:1" ht="14.25" customHeight="1" x14ac:dyDescent="0.2">
      <c r="A625" s="11"/>
    </row>
    <row r="626" spans="1:1" ht="14.25" customHeight="1" x14ac:dyDescent="0.2">
      <c r="A626" s="11"/>
    </row>
    <row r="627" spans="1:1" ht="14.25" customHeight="1" x14ac:dyDescent="0.2">
      <c r="A627" s="11"/>
    </row>
    <row r="628" spans="1:1" ht="14.25" customHeight="1" x14ac:dyDescent="0.2">
      <c r="A628" s="11"/>
    </row>
    <row r="629" spans="1:1" ht="14.25" customHeight="1" x14ac:dyDescent="0.2">
      <c r="A629" s="11"/>
    </row>
    <row r="630" spans="1:1" ht="14.25" customHeight="1" x14ac:dyDescent="0.2">
      <c r="A630" s="11"/>
    </row>
    <row r="631" spans="1:1" ht="14.25" customHeight="1" x14ac:dyDescent="0.2">
      <c r="A631" s="11"/>
    </row>
    <row r="632" spans="1:1" ht="14.25" customHeight="1" x14ac:dyDescent="0.2">
      <c r="A632" s="11"/>
    </row>
    <row r="633" spans="1:1" ht="14.25" customHeight="1" x14ac:dyDescent="0.2">
      <c r="A633" s="11"/>
    </row>
    <row r="634" spans="1:1" ht="14.25" customHeight="1" x14ac:dyDescent="0.2">
      <c r="A634" s="11"/>
    </row>
    <row r="635" spans="1:1" ht="14.25" customHeight="1" x14ac:dyDescent="0.2">
      <c r="A635" s="11"/>
    </row>
    <row r="636" spans="1:1" ht="14.25" customHeight="1" x14ac:dyDescent="0.2">
      <c r="A636" s="11"/>
    </row>
    <row r="637" spans="1:1" ht="14.25" customHeight="1" x14ac:dyDescent="0.2">
      <c r="A637" s="11"/>
    </row>
    <row r="638" spans="1:1" ht="14.25" customHeight="1" x14ac:dyDescent="0.2">
      <c r="A638" s="11"/>
    </row>
    <row r="639" spans="1:1" ht="14.25" customHeight="1" x14ac:dyDescent="0.2">
      <c r="A639" s="11"/>
    </row>
    <row r="640" spans="1:1" ht="14.25" customHeight="1" x14ac:dyDescent="0.2">
      <c r="A640" s="11"/>
    </row>
    <row r="641" spans="1:1" ht="14.25" customHeight="1" x14ac:dyDescent="0.2">
      <c r="A641" s="11"/>
    </row>
    <row r="642" spans="1:1" ht="14.25" customHeight="1" x14ac:dyDescent="0.2">
      <c r="A642" s="11"/>
    </row>
    <row r="643" spans="1:1" ht="14.25" customHeight="1" x14ac:dyDescent="0.2">
      <c r="A643" s="11"/>
    </row>
    <row r="644" spans="1:1" ht="14.25" customHeight="1" x14ac:dyDescent="0.2">
      <c r="A644" s="11"/>
    </row>
    <row r="645" spans="1:1" ht="14.25" customHeight="1" x14ac:dyDescent="0.2">
      <c r="A645" s="11"/>
    </row>
    <row r="646" spans="1:1" ht="14.25" customHeight="1" x14ac:dyDescent="0.2">
      <c r="A646" s="11"/>
    </row>
    <row r="647" spans="1:1" ht="14.25" customHeight="1" x14ac:dyDescent="0.2">
      <c r="A647" s="11"/>
    </row>
    <row r="648" spans="1:1" ht="14.25" customHeight="1" x14ac:dyDescent="0.2">
      <c r="A648" s="11"/>
    </row>
    <row r="649" spans="1:1" ht="14.25" customHeight="1" x14ac:dyDescent="0.2">
      <c r="A649" s="11"/>
    </row>
    <row r="650" spans="1:1" ht="14.25" customHeight="1" x14ac:dyDescent="0.2">
      <c r="A650" s="11"/>
    </row>
    <row r="651" spans="1:1" ht="14.25" customHeight="1" x14ac:dyDescent="0.2">
      <c r="A651" s="11"/>
    </row>
    <row r="652" spans="1:1" ht="14.25" customHeight="1" x14ac:dyDescent="0.2">
      <c r="A652" s="11"/>
    </row>
    <row r="653" spans="1:1" ht="14.25" customHeight="1" x14ac:dyDescent="0.2">
      <c r="A653" s="11"/>
    </row>
    <row r="654" spans="1:1" ht="14.25" customHeight="1" x14ac:dyDescent="0.2">
      <c r="A654" s="11"/>
    </row>
    <row r="655" spans="1:1" ht="14.25" customHeight="1" x14ac:dyDescent="0.2">
      <c r="A655" s="11"/>
    </row>
    <row r="656" spans="1:1" ht="14.25" customHeight="1" x14ac:dyDescent="0.2">
      <c r="A656" s="11"/>
    </row>
    <row r="657" spans="1:1" ht="14.25" customHeight="1" x14ac:dyDescent="0.2">
      <c r="A657" s="11"/>
    </row>
    <row r="658" spans="1:1" ht="14.25" customHeight="1" x14ac:dyDescent="0.2">
      <c r="A658" s="11"/>
    </row>
    <row r="659" spans="1:1" ht="14.25" customHeight="1" x14ac:dyDescent="0.2">
      <c r="A659" s="11"/>
    </row>
    <row r="660" spans="1:1" ht="14.25" customHeight="1" x14ac:dyDescent="0.2">
      <c r="A660" s="11"/>
    </row>
    <row r="661" spans="1:1" ht="14.25" customHeight="1" x14ac:dyDescent="0.2">
      <c r="A661" s="11"/>
    </row>
    <row r="662" spans="1:1" ht="14.25" customHeight="1" x14ac:dyDescent="0.2">
      <c r="A662" s="11"/>
    </row>
    <row r="663" spans="1:1" ht="14.25" customHeight="1" x14ac:dyDescent="0.2">
      <c r="A663" s="11"/>
    </row>
    <row r="664" spans="1:1" ht="14.25" customHeight="1" x14ac:dyDescent="0.2">
      <c r="A664" s="11"/>
    </row>
    <row r="665" spans="1:1" ht="14.25" customHeight="1" x14ac:dyDescent="0.2">
      <c r="A665" s="11"/>
    </row>
    <row r="666" spans="1:1" ht="14.25" customHeight="1" x14ac:dyDescent="0.2">
      <c r="A666" s="11"/>
    </row>
    <row r="667" spans="1:1" ht="14.25" customHeight="1" x14ac:dyDescent="0.2">
      <c r="A667" s="11"/>
    </row>
    <row r="668" spans="1:1" ht="14.25" customHeight="1" x14ac:dyDescent="0.2">
      <c r="A668" s="11"/>
    </row>
    <row r="669" spans="1:1" ht="14.25" customHeight="1" x14ac:dyDescent="0.2">
      <c r="A669" s="11"/>
    </row>
    <row r="670" spans="1:1" ht="14.25" customHeight="1" x14ac:dyDescent="0.2">
      <c r="A670" s="11"/>
    </row>
    <row r="671" spans="1:1" ht="14.25" customHeight="1" x14ac:dyDescent="0.2">
      <c r="A671" s="11"/>
    </row>
    <row r="672" spans="1:1" ht="14.25" customHeight="1" x14ac:dyDescent="0.2">
      <c r="A672" s="11"/>
    </row>
    <row r="673" spans="1:1" ht="14.25" customHeight="1" x14ac:dyDescent="0.2">
      <c r="A673" s="11"/>
    </row>
    <row r="674" spans="1:1" ht="14.25" customHeight="1" x14ac:dyDescent="0.2">
      <c r="A674" s="11"/>
    </row>
    <row r="675" spans="1:1" ht="14.25" customHeight="1" x14ac:dyDescent="0.2">
      <c r="A675" s="11"/>
    </row>
    <row r="676" spans="1:1" ht="14.25" customHeight="1" x14ac:dyDescent="0.2">
      <c r="A676" s="11"/>
    </row>
    <row r="677" spans="1:1" ht="14.25" customHeight="1" x14ac:dyDescent="0.2">
      <c r="A677" s="11"/>
    </row>
    <row r="678" spans="1:1" ht="14.25" customHeight="1" x14ac:dyDescent="0.2">
      <c r="A678" s="11"/>
    </row>
    <row r="679" spans="1:1" ht="14.25" customHeight="1" x14ac:dyDescent="0.2">
      <c r="A679" s="11"/>
    </row>
    <row r="680" spans="1:1" ht="14.25" customHeight="1" x14ac:dyDescent="0.2">
      <c r="A680" s="11"/>
    </row>
    <row r="681" spans="1:1" ht="14.25" customHeight="1" x14ac:dyDescent="0.2">
      <c r="A681" s="11"/>
    </row>
    <row r="682" spans="1:1" ht="14.25" customHeight="1" x14ac:dyDescent="0.2">
      <c r="A682" s="11"/>
    </row>
    <row r="683" spans="1:1" ht="14.25" customHeight="1" x14ac:dyDescent="0.2">
      <c r="A683" s="11"/>
    </row>
    <row r="684" spans="1:1" ht="14.25" customHeight="1" x14ac:dyDescent="0.2">
      <c r="A684" s="11"/>
    </row>
    <row r="685" spans="1:1" ht="14.25" customHeight="1" x14ac:dyDescent="0.2">
      <c r="A685" s="11"/>
    </row>
    <row r="686" spans="1:1" ht="14.25" customHeight="1" x14ac:dyDescent="0.2">
      <c r="A686" s="11"/>
    </row>
    <row r="687" spans="1:1" ht="14.25" customHeight="1" x14ac:dyDescent="0.2">
      <c r="A687" s="11"/>
    </row>
    <row r="688" spans="1:1" ht="14.25" customHeight="1" x14ac:dyDescent="0.2">
      <c r="A688" s="11"/>
    </row>
    <row r="689" spans="1:1" ht="14.25" customHeight="1" x14ac:dyDescent="0.2">
      <c r="A689" s="11"/>
    </row>
    <row r="690" spans="1:1" ht="14.25" customHeight="1" x14ac:dyDescent="0.2">
      <c r="A690" s="11"/>
    </row>
    <row r="691" spans="1:1" ht="14.25" customHeight="1" x14ac:dyDescent="0.2">
      <c r="A691" s="11"/>
    </row>
    <row r="692" spans="1:1" ht="14.25" customHeight="1" x14ac:dyDescent="0.2">
      <c r="A692" s="11"/>
    </row>
    <row r="693" spans="1:1" ht="14.25" customHeight="1" x14ac:dyDescent="0.2">
      <c r="A693" s="11"/>
    </row>
    <row r="694" spans="1:1" ht="14.25" customHeight="1" x14ac:dyDescent="0.2">
      <c r="A694" s="11"/>
    </row>
    <row r="695" spans="1:1" ht="14.25" customHeight="1" x14ac:dyDescent="0.2">
      <c r="A695" s="11"/>
    </row>
    <row r="696" spans="1:1" ht="14.25" customHeight="1" x14ac:dyDescent="0.2">
      <c r="A696" s="11"/>
    </row>
    <row r="697" spans="1:1" ht="14.25" customHeight="1" x14ac:dyDescent="0.2">
      <c r="A697" s="11"/>
    </row>
    <row r="698" spans="1:1" ht="14.25" customHeight="1" x14ac:dyDescent="0.2">
      <c r="A698" s="11"/>
    </row>
    <row r="699" spans="1:1" ht="14.25" customHeight="1" x14ac:dyDescent="0.2">
      <c r="A699" s="11"/>
    </row>
    <row r="700" spans="1:1" ht="14.25" customHeight="1" x14ac:dyDescent="0.2">
      <c r="A700" s="11"/>
    </row>
    <row r="701" spans="1:1" ht="14.25" customHeight="1" x14ac:dyDescent="0.2">
      <c r="A701" s="11"/>
    </row>
    <row r="702" spans="1:1" ht="14.25" customHeight="1" x14ac:dyDescent="0.2">
      <c r="A702" s="11"/>
    </row>
    <row r="703" spans="1:1" ht="14.25" customHeight="1" x14ac:dyDescent="0.2">
      <c r="A703" s="11"/>
    </row>
    <row r="704" spans="1:1" ht="14.25" customHeight="1" x14ac:dyDescent="0.2">
      <c r="A704" s="11"/>
    </row>
    <row r="705" spans="1:1" ht="14.25" customHeight="1" x14ac:dyDescent="0.2">
      <c r="A705" s="11"/>
    </row>
    <row r="706" spans="1:1" ht="14.25" customHeight="1" x14ac:dyDescent="0.2">
      <c r="A706" s="11"/>
    </row>
    <row r="707" spans="1:1" ht="14.25" customHeight="1" x14ac:dyDescent="0.2">
      <c r="A707" s="11"/>
    </row>
    <row r="708" spans="1:1" ht="14.25" customHeight="1" x14ac:dyDescent="0.2">
      <c r="A708" s="11"/>
    </row>
    <row r="709" spans="1:1" ht="14.25" customHeight="1" x14ac:dyDescent="0.2">
      <c r="A709" s="11"/>
    </row>
    <row r="710" spans="1:1" ht="14.25" customHeight="1" x14ac:dyDescent="0.2">
      <c r="A710" s="11"/>
    </row>
    <row r="711" spans="1:1" ht="14.25" customHeight="1" x14ac:dyDescent="0.2">
      <c r="A711" s="11"/>
    </row>
    <row r="712" spans="1:1" ht="14.25" customHeight="1" x14ac:dyDescent="0.2">
      <c r="A712" s="11"/>
    </row>
    <row r="713" spans="1:1" ht="14.25" customHeight="1" x14ac:dyDescent="0.2">
      <c r="A713" s="11"/>
    </row>
    <row r="714" spans="1:1" ht="14.25" customHeight="1" x14ac:dyDescent="0.2">
      <c r="A714" s="11"/>
    </row>
    <row r="715" spans="1:1" ht="14.25" customHeight="1" x14ac:dyDescent="0.2">
      <c r="A715" s="11"/>
    </row>
    <row r="716" spans="1:1" ht="14.25" customHeight="1" x14ac:dyDescent="0.2">
      <c r="A716" s="11"/>
    </row>
    <row r="717" spans="1:1" ht="14.25" customHeight="1" x14ac:dyDescent="0.2">
      <c r="A717" s="11"/>
    </row>
    <row r="718" spans="1:1" ht="14.25" customHeight="1" x14ac:dyDescent="0.2">
      <c r="A718" s="11"/>
    </row>
    <row r="719" spans="1:1" ht="14.25" customHeight="1" x14ac:dyDescent="0.2">
      <c r="A719" s="11"/>
    </row>
    <row r="720" spans="1:1" ht="14.25" customHeight="1" x14ac:dyDescent="0.2">
      <c r="A720" s="11"/>
    </row>
    <row r="721" spans="1:1" ht="14.25" customHeight="1" x14ac:dyDescent="0.2">
      <c r="A721" s="11"/>
    </row>
    <row r="722" spans="1:1" ht="14.25" customHeight="1" x14ac:dyDescent="0.2">
      <c r="A722" s="11"/>
    </row>
    <row r="723" spans="1:1" ht="14.25" customHeight="1" x14ac:dyDescent="0.2">
      <c r="A723" s="11"/>
    </row>
    <row r="724" spans="1:1" ht="14.25" customHeight="1" x14ac:dyDescent="0.2">
      <c r="A724" s="11"/>
    </row>
    <row r="725" spans="1:1" ht="14.25" customHeight="1" x14ac:dyDescent="0.2">
      <c r="A725" s="11"/>
    </row>
    <row r="726" spans="1:1" ht="14.25" customHeight="1" x14ac:dyDescent="0.2">
      <c r="A726" s="11"/>
    </row>
    <row r="727" spans="1:1" ht="14.25" customHeight="1" x14ac:dyDescent="0.2">
      <c r="A727" s="11"/>
    </row>
    <row r="728" spans="1:1" ht="14.25" customHeight="1" x14ac:dyDescent="0.2">
      <c r="A728" s="11"/>
    </row>
    <row r="729" spans="1:1" ht="14.25" customHeight="1" x14ac:dyDescent="0.2">
      <c r="A729" s="11"/>
    </row>
    <row r="730" spans="1:1" ht="14.25" customHeight="1" x14ac:dyDescent="0.2">
      <c r="A730" s="11"/>
    </row>
    <row r="731" spans="1:1" ht="14.25" customHeight="1" x14ac:dyDescent="0.2">
      <c r="A731" s="11"/>
    </row>
    <row r="732" spans="1:1" ht="14.25" customHeight="1" x14ac:dyDescent="0.2">
      <c r="A732" s="11"/>
    </row>
    <row r="733" spans="1:1" ht="14.25" customHeight="1" x14ac:dyDescent="0.2">
      <c r="A733" s="11"/>
    </row>
    <row r="734" spans="1:1" ht="14.25" customHeight="1" x14ac:dyDescent="0.2">
      <c r="A734" s="11"/>
    </row>
    <row r="735" spans="1:1" ht="14.25" customHeight="1" x14ac:dyDescent="0.2">
      <c r="A735" s="11"/>
    </row>
    <row r="736" spans="1:1" ht="14.25" customHeight="1" x14ac:dyDescent="0.2">
      <c r="A736" s="11"/>
    </row>
    <row r="737" spans="1:1" ht="14.25" customHeight="1" x14ac:dyDescent="0.2">
      <c r="A737" s="11"/>
    </row>
    <row r="738" spans="1:1" ht="14.25" customHeight="1" x14ac:dyDescent="0.2">
      <c r="A738" s="11"/>
    </row>
    <row r="739" spans="1:1" ht="14.25" customHeight="1" x14ac:dyDescent="0.2">
      <c r="A739" s="11"/>
    </row>
    <row r="740" spans="1:1" ht="14.25" customHeight="1" x14ac:dyDescent="0.2">
      <c r="A740" s="11"/>
    </row>
    <row r="741" spans="1:1" ht="14.25" customHeight="1" x14ac:dyDescent="0.2">
      <c r="A741" s="11"/>
    </row>
    <row r="742" spans="1:1" ht="14.25" customHeight="1" x14ac:dyDescent="0.2">
      <c r="A742" s="11"/>
    </row>
    <row r="743" spans="1:1" ht="14.25" customHeight="1" x14ac:dyDescent="0.2">
      <c r="A743" s="11"/>
    </row>
    <row r="744" spans="1:1" ht="14.25" customHeight="1" x14ac:dyDescent="0.2">
      <c r="A744" s="11"/>
    </row>
    <row r="745" spans="1:1" ht="14.25" customHeight="1" x14ac:dyDescent="0.2">
      <c r="A745" s="11"/>
    </row>
    <row r="746" spans="1:1" ht="14.25" customHeight="1" x14ac:dyDescent="0.2">
      <c r="A746" s="11"/>
    </row>
    <row r="747" spans="1:1" ht="14.25" customHeight="1" x14ac:dyDescent="0.2">
      <c r="A747" s="11"/>
    </row>
    <row r="748" spans="1:1" ht="14.25" customHeight="1" x14ac:dyDescent="0.2">
      <c r="A748" s="11"/>
    </row>
    <row r="749" spans="1:1" ht="14.25" customHeight="1" x14ac:dyDescent="0.2">
      <c r="A749" s="11"/>
    </row>
    <row r="750" spans="1:1" ht="14.25" customHeight="1" x14ac:dyDescent="0.2">
      <c r="A750" s="11"/>
    </row>
    <row r="751" spans="1:1" ht="14.25" customHeight="1" x14ac:dyDescent="0.2">
      <c r="A751" s="11"/>
    </row>
    <row r="752" spans="1:1" ht="14.25" customHeight="1" x14ac:dyDescent="0.2">
      <c r="A752" s="11"/>
    </row>
    <row r="753" spans="1:1" ht="14.25" customHeight="1" x14ac:dyDescent="0.2">
      <c r="A753" s="11"/>
    </row>
    <row r="754" spans="1:1" ht="14.25" customHeight="1" x14ac:dyDescent="0.2">
      <c r="A754" s="11"/>
    </row>
    <row r="755" spans="1:1" ht="14.25" customHeight="1" x14ac:dyDescent="0.2">
      <c r="A755" s="11"/>
    </row>
    <row r="756" spans="1:1" ht="14.25" customHeight="1" x14ac:dyDescent="0.2">
      <c r="A756" s="11"/>
    </row>
    <row r="757" spans="1:1" ht="14.25" customHeight="1" x14ac:dyDescent="0.2">
      <c r="A757" s="11"/>
    </row>
    <row r="758" spans="1:1" ht="14.25" customHeight="1" x14ac:dyDescent="0.2">
      <c r="A758" s="11"/>
    </row>
    <row r="759" spans="1:1" ht="14.25" customHeight="1" x14ac:dyDescent="0.2">
      <c r="A759" s="11"/>
    </row>
    <row r="760" spans="1:1" ht="14.25" customHeight="1" x14ac:dyDescent="0.2">
      <c r="A760" s="11"/>
    </row>
    <row r="761" spans="1:1" ht="14.25" customHeight="1" x14ac:dyDescent="0.2">
      <c r="A761" s="11"/>
    </row>
    <row r="762" spans="1:1" ht="14.25" customHeight="1" x14ac:dyDescent="0.2">
      <c r="A762" s="11"/>
    </row>
    <row r="763" spans="1:1" ht="14.25" customHeight="1" x14ac:dyDescent="0.2">
      <c r="A763" s="11"/>
    </row>
    <row r="764" spans="1:1" ht="14.25" customHeight="1" x14ac:dyDescent="0.2">
      <c r="A764" s="11"/>
    </row>
    <row r="765" spans="1:1" ht="14.25" customHeight="1" x14ac:dyDescent="0.2">
      <c r="A765" s="11"/>
    </row>
    <row r="766" spans="1:1" ht="14.25" customHeight="1" x14ac:dyDescent="0.2">
      <c r="A766" s="11"/>
    </row>
    <row r="767" spans="1:1" ht="14.25" customHeight="1" x14ac:dyDescent="0.2">
      <c r="A767" s="11"/>
    </row>
    <row r="768" spans="1:1" ht="14.25" customHeight="1" x14ac:dyDescent="0.2">
      <c r="A768" s="11"/>
    </row>
    <row r="769" spans="1:1" ht="14.25" customHeight="1" x14ac:dyDescent="0.2">
      <c r="A769" s="11"/>
    </row>
    <row r="770" spans="1:1" ht="14.25" customHeight="1" x14ac:dyDescent="0.2">
      <c r="A770" s="11"/>
    </row>
    <row r="771" spans="1:1" ht="14.25" customHeight="1" x14ac:dyDescent="0.2">
      <c r="A771" s="11"/>
    </row>
    <row r="772" spans="1:1" ht="14.25" customHeight="1" x14ac:dyDescent="0.2">
      <c r="A772" s="11"/>
    </row>
    <row r="773" spans="1:1" ht="14.25" customHeight="1" x14ac:dyDescent="0.2">
      <c r="A773" s="11"/>
    </row>
    <row r="774" spans="1:1" ht="14.25" customHeight="1" x14ac:dyDescent="0.2">
      <c r="A774" s="11"/>
    </row>
    <row r="775" spans="1:1" ht="14.25" customHeight="1" x14ac:dyDescent="0.2">
      <c r="A775" s="11"/>
    </row>
    <row r="776" spans="1:1" ht="14.25" customHeight="1" x14ac:dyDescent="0.2">
      <c r="A776" s="11"/>
    </row>
    <row r="777" spans="1:1" ht="14.25" customHeight="1" x14ac:dyDescent="0.2">
      <c r="A777" s="11"/>
    </row>
    <row r="778" spans="1:1" ht="14.25" customHeight="1" x14ac:dyDescent="0.2">
      <c r="A778" s="11"/>
    </row>
    <row r="779" spans="1:1" ht="14.25" customHeight="1" x14ac:dyDescent="0.2">
      <c r="A779" s="11"/>
    </row>
    <row r="780" spans="1:1" ht="14.25" customHeight="1" x14ac:dyDescent="0.2">
      <c r="A780" s="11"/>
    </row>
    <row r="781" spans="1:1" ht="14.25" customHeight="1" x14ac:dyDescent="0.2">
      <c r="A781" s="11"/>
    </row>
    <row r="782" spans="1:1" ht="14.25" customHeight="1" x14ac:dyDescent="0.2">
      <c r="A782" s="11"/>
    </row>
    <row r="783" spans="1:1" ht="14.25" customHeight="1" x14ac:dyDescent="0.2">
      <c r="A783" s="11"/>
    </row>
    <row r="784" spans="1:1" ht="14.25" customHeight="1" x14ac:dyDescent="0.2">
      <c r="A784" s="11"/>
    </row>
    <row r="785" spans="1:1" ht="14.25" customHeight="1" x14ac:dyDescent="0.2">
      <c r="A785" s="11"/>
    </row>
    <row r="786" spans="1:1" ht="14.25" customHeight="1" x14ac:dyDescent="0.2">
      <c r="A786" s="11"/>
    </row>
    <row r="787" spans="1:1" ht="14.25" customHeight="1" x14ac:dyDescent="0.2">
      <c r="A787" s="11"/>
    </row>
    <row r="788" spans="1:1" ht="14.25" customHeight="1" x14ac:dyDescent="0.2">
      <c r="A788" s="11"/>
    </row>
    <row r="789" spans="1:1" ht="14.25" customHeight="1" x14ac:dyDescent="0.2">
      <c r="A789" s="11"/>
    </row>
    <row r="790" spans="1:1" ht="14.25" customHeight="1" x14ac:dyDescent="0.2">
      <c r="A790" s="11"/>
    </row>
    <row r="791" spans="1:1" ht="14.25" customHeight="1" x14ac:dyDescent="0.2">
      <c r="A791" s="11"/>
    </row>
    <row r="792" spans="1:1" ht="14.25" customHeight="1" x14ac:dyDescent="0.2">
      <c r="A792" s="11"/>
    </row>
    <row r="793" spans="1:1" ht="14.25" customHeight="1" x14ac:dyDescent="0.2">
      <c r="A793" s="11"/>
    </row>
    <row r="794" spans="1:1" ht="14.25" customHeight="1" x14ac:dyDescent="0.2">
      <c r="A794" s="11"/>
    </row>
    <row r="795" spans="1:1" ht="14.25" customHeight="1" x14ac:dyDescent="0.2">
      <c r="A795" s="11"/>
    </row>
    <row r="796" spans="1:1" ht="14.25" customHeight="1" x14ac:dyDescent="0.2">
      <c r="A796" s="11"/>
    </row>
    <row r="797" spans="1:1" ht="14.25" customHeight="1" x14ac:dyDescent="0.2">
      <c r="A797" s="11"/>
    </row>
    <row r="798" spans="1:1" ht="14.25" customHeight="1" x14ac:dyDescent="0.2">
      <c r="A798" s="11"/>
    </row>
    <row r="799" spans="1:1" ht="14.25" customHeight="1" x14ac:dyDescent="0.2">
      <c r="A799" s="11"/>
    </row>
    <row r="800" spans="1:1" ht="14.25" customHeight="1" x14ac:dyDescent="0.2">
      <c r="A800" s="11"/>
    </row>
    <row r="801" spans="1:1" ht="14.25" customHeight="1" x14ac:dyDescent="0.2">
      <c r="A801" s="11"/>
    </row>
    <row r="802" spans="1:1" ht="14.25" customHeight="1" x14ac:dyDescent="0.2">
      <c r="A802" s="11"/>
    </row>
    <row r="803" spans="1:1" ht="14.25" customHeight="1" x14ac:dyDescent="0.2">
      <c r="A803" s="11"/>
    </row>
    <row r="804" spans="1:1" ht="14.25" customHeight="1" x14ac:dyDescent="0.2">
      <c r="A804" s="11"/>
    </row>
    <row r="805" spans="1:1" ht="14.25" customHeight="1" x14ac:dyDescent="0.2">
      <c r="A805" s="11"/>
    </row>
    <row r="806" spans="1:1" ht="14.25" customHeight="1" x14ac:dyDescent="0.2">
      <c r="A806" s="11"/>
    </row>
    <row r="807" spans="1:1" ht="14.25" customHeight="1" x14ac:dyDescent="0.2">
      <c r="A807" s="11"/>
    </row>
    <row r="808" spans="1:1" ht="14.25" customHeight="1" x14ac:dyDescent="0.2">
      <c r="A808" s="11"/>
    </row>
    <row r="809" spans="1:1" ht="14.25" customHeight="1" x14ac:dyDescent="0.2">
      <c r="A809" s="11"/>
    </row>
    <row r="810" spans="1:1" ht="14.25" customHeight="1" x14ac:dyDescent="0.2">
      <c r="A810" s="11"/>
    </row>
    <row r="811" spans="1:1" ht="14.25" customHeight="1" x14ac:dyDescent="0.2">
      <c r="A811" s="11"/>
    </row>
    <row r="812" spans="1:1" ht="14.25" customHeight="1" x14ac:dyDescent="0.2">
      <c r="A812" s="11"/>
    </row>
    <row r="813" spans="1:1" ht="14.25" customHeight="1" x14ac:dyDescent="0.2">
      <c r="A813" s="11"/>
    </row>
    <row r="814" spans="1:1" ht="14.25" customHeight="1" x14ac:dyDescent="0.2">
      <c r="A814" s="11"/>
    </row>
    <row r="815" spans="1:1" ht="14.25" customHeight="1" x14ac:dyDescent="0.2">
      <c r="A815" s="11"/>
    </row>
    <row r="816" spans="1:1" ht="14.25" customHeight="1" x14ac:dyDescent="0.2">
      <c r="A816" s="11"/>
    </row>
    <row r="817" spans="1:1" ht="14.25" customHeight="1" x14ac:dyDescent="0.2">
      <c r="A817" s="11"/>
    </row>
    <row r="818" spans="1:1" ht="14.25" customHeight="1" x14ac:dyDescent="0.2">
      <c r="A818" s="11"/>
    </row>
    <row r="819" spans="1:1" ht="14.25" customHeight="1" x14ac:dyDescent="0.2">
      <c r="A819" s="11"/>
    </row>
    <row r="820" spans="1:1" ht="14.25" customHeight="1" x14ac:dyDescent="0.2">
      <c r="A820" s="11"/>
    </row>
    <row r="821" spans="1:1" ht="14.25" customHeight="1" x14ac:dyDescent="0.2">
      <c r="A821" s="11"/>
    </row>
    <row r="822" spans="1:1" ht="14.25" customHeight="1" x14ac:dyDescent="0.2">
      <c r="A822" s="11"/>
    </row>
    <row r="823" spans="1:1" ht="14.25" customHeight="1" x14ac:dyDescent="0.2">
      <c r="A823" s="11"/>
    </row>
    <row r="824" spans="1:1" ht="14.25" customHeight="1" x14ac:dyDescent="0.2">
      <c r="A824" s="11"/>
    </row>
    <row r="825" spans="1:1" ht="14.25" customHeight="1" x14ac:dyDescent="0.2">
      <c r="A825" s="11"/>
    </row>
    <row r="826" spans="1:1" ht="14.25" customHeight="1" x14ac:dyDescent="0.2">
      <c r="A826" s="11"/>
    </row>
    <row r="827" spans="1:1" ht="14.25" customHeight="1" x14ac:dyDescent="0.2">
      <c r="A827" s="11"/>
    </row>
    <row r="828" spans="1:1" ht="14.25" customHeight="1" x14ac:dyDescent="0.2">
      <c r="A828" s="11"/>
    </row>
    <row r="829" spans="1:1" ht="14.25" customHeight="1" x14ac:dyDescent="0.2">
      <c r="A829" s="11"/>
    </row>
    <row r="830" spans="1:1" ht="14.25" customHeight="1" x14ac:dyDescent="0.2">
      <c r="A830" s="11"/>
    </row>
    <row r="831" spans="1:1" ht="14.25" customHeight="1" x14ac:dyDescent="0.2">
      <c r="A831" s="11"/>
    </row>
    <row r="832" spans="1:1" ht="14.25" customHeight="1" x14ac:dyDescent="0.2">
      <c r="A832" s="11"/>
    </row>
    <row r="833" spans="1:1" ht="14.25" customHeight="1" x14ac:dyDescent="0.2">
      <c r="A833" s="11"/>
    </row>
    <row r="834" spans="1:1" ht="14.25" customHeight="1" x14ac:dyDescent="0.2">
      <c r="A834" s="11"/>
    </row>
    <row r="835" spans="1:1" ht="14.25" customHeight="1" x14ac:dyDescent="0.2">
      <c r="A835" s="11"/>
    </row>
    <row r="836" spans="1:1" ht="14.25" customHeight="1" x14ac:dyDescent="0.2">
      <c r="A836" s="11"/>
    </row>
    <row r="837" spans="1:1" ht="14.25" customHeight="1" x14ac:dyDescent="0.2">
      <c r="A837" s="11"/>
    </row>
    <row r="838" spans="1:1" ht="14.25" customHeight="1" x14ac:dyDescent="0.2">
      <c r="A838" s="11"/>
    </row>
    <row r="839" spans="1:1" ht="14.25" customHeight="1" x14ac:dyDescent="0.2">
      <c r="A839" s="11"/>
    </row>
    <row r="840" spans="1:1" ht="14.25" customHeight="1" x14ac:dyDescent="0.2">
      <c r="A840" s="11"/>
    </row>
    <row r="841" spans="1:1" ht="14.25" customHeight="1" x14ac:dyDescent="0.2">
      <c r="A841" s="11"/>
    </row>
    <row r="842" spans="1:1" ht="14.25" customHeight="1" x14ac:dyDescent="0.2">
      <c r="A842" s="11"/>
    </row>
    <row r="843" spans="1:1" ht="14.25" customHeight="1" x14ac:dyDescent="0.2">
      <c r="A843" s="11"/>
    </row>
    <row r="844" spans="1:1" ht="14.25" customHeight="1" x14ac:dyDescent="0.2">
      <c r="A844" s="11"/>
    </row>
    <row r="845" spans="1:1" ht="14.25" customHeight="1" x14ac:dyDescent="0.2">
      <c r="A845" s="11"/>
    </row>
    <row r="846" spans="1:1" ht="14.25" customHeight="1" x14ac:dyDescent="0.2">
      <c r="A846" s="11"/>
    </row>
    <row r="847" spans="1:1" ht="14.25" customHeight="1" x14ac:dyDescent="0.2">
      <c r="A847" s="11"/>
    </row>
    <row r="848" spans="1:1" ht="14.25" customHeight="1" x14ac:dyDescent="0.2">
      <c r="A848" s="11"/>
    </row>
    <row r="849" spans="1:1" ht="14.25" customHeight="1" x14ac:dyDescent="0.2">
      <c r="A849" s="11"/>
    </row>
    <row r="850" spans="1:1" ht="14.25" customHeight="1" x14ac:dyDescent="0.2">
      <c r="A850" s="11"/>
    </row>
    <row r="851" spans="1:1" ht="14.25" customHeight="1" x14ac:dyDescent="0.2">
      <c r="A851" s="11"/>
    </row>
    <row r="852" spans="1:1" ht="14.25" customHeight="1" x14ac:dyDescent="0.2">
      <c r="A852" s="11"/>
    </row>
    <row r="853" spans="1:1" ht="14.25" customHeight="1" x14ac:dyDescent="0.2">
      <c r="A853" s="11"/>
    </row>
    <row r="854" spans="1:1" ht="14.25" customHeight="1" x14ac:dyDescent="0.2">
      <c r="A854" s="11"/>
    </row>
    <row r="855" spans="1:1" ht="14.25" customHeight="1" x14ac:dyDescent="0.2">
      <c r="A855" s="11"/>
    </row>
    <row r="856" spans="1:1" ht="14.25" customHeight="1" x14ac:dyDescent="0.2">
      <c r="A856" s="11"/>
    </row>
    <row r="857" spans="1:1" ht="14.25" customHeight="1" x14ac:dyDescent="0.2">
      <c r="A857" s="11"/>
    </row>
    <row r="858" spans="1:1" ht="14.25" customHeight="1" x14ac:dyDescent="0.2">
      <c r="A858" s="11"/>
    </row>
    <row r="859" spans="1:1" ht="14.25" customHeight="1" x14ac:dyDescent="0.2">
      <c r="A859" s="11"/>
    </row>
    <row r="860" spans="1:1" ht="14.25" customHeight="1" x14ac:dyDescent="0.2">
      <c r="A860" s="11"/>
    </row>
    <row r="861" spans="1:1" ht="14.25" customHeight="1" x14ac:dyDescent="0.2">
      <c r="A861" s="11"/>
    </row>
    <row r="862" spans="1:1" ht="14.25" customHeight="1" x14ac:dyDescent="0.2">
      <c r="A862" s="11"/>
    </row>
    <row r="863" spans="1:1" ht="14.25" customHeight="1" x14ac:dyDescent="0.2">
      <c r="A863" s="11"/>
    </row>
    <row r="864" spans="1:1" ht="14.25" customHeight="1" x14ac:dyDescent="0.2">
      <c r="A864" s="11"/>
    </row>
    <row r="865" spans="1:1" ht="14.25" customHeight="1" x14ac:dyDescent="0.2">
      <c r="A865" s="11"/>
    </row>
    <row r="866" spans="1:1" ht="14.25" customHeight="1" x14ac:dyDescent="0.2">
      <c r="A866" s="11"/>
    </row>
    <row r="867" spans="1:1" ht="14.25" customHeight="1" x14ac:dyDescent="0.2">
      <c r="A867" s="11"/>
    </row>
    <row r="868" spans="1:1" ht="14.25" customHeight="1" x14ac:dyDescent="0.2">
      <c r="A868" s="11"/>
    </row>
    <row r="869" spans="1:1" ht="14.25" customHeight="1" x14ac:dyDescent="0.2">
      <c r="A869" s="11"/>
    </row>
    <row r="870" spans="1:1" ht="14.25" customHeight="1" x14ac:dyDescent="0.2">
      <c r="A870" s="11"/>
    </row>
    <row r="871" spans="1:1" ht="14.25" customHeight="1" x14ac:dyDescent="0.2">
      <c r="A871" s="11"/>
    </row>
    <row r="872" spans="1:1" ht="14.25" customHeight="1" x14ac:dyDescent="0.2">
      <c r="A872" s="11"/>
    </row>
    <row r="873" spans="1:1" ht="14.25" customHeight="1" x14ac:dyDescent="0.2">
      <c r="A873" s="11"/>
    </row>
    <row r="874" spans="1:1" ht="14.25" customHeight="1" x14ac:dyDescent="0.2">
      <c r="A874" s="11"/>
    </row>
    <row r="875" spans="1:1" ht="14.25" customHeight="1" x14ac:dyDescent="0.2">
      <c r="A875" s="11"/>
    </row>
    <row r="876" spans="1:1" ht="14.25" customHeight="1" x14ac:dyDescent="0.2">
      <c r="A876" s="11"/>
    </row>
    <row r="877" spans="1:1" ht="14.25" customHeight="1" x14ac:dyDescent="0.2">
      <c r="A877" s="11"/>
    </row>
    <row r="878" spans="1:1" ht="14.25" customHeight="1" x14ac:dyDescent="0.2">
      <c r="A878" s="11"/>
    </row>
    <row r="879" spans="1:1" ht="14.25" customHeight="1" x14ac:dyDescent="0.2">
      <c r="A879" s="11"/>
    </row>
    <row r="880" spans="1:1" ht="14.25" customHeight="1" x14ac:dyDescent="0.2">
      <c r="A880" s="11"/>
    </row>
    <row r="881" spans="1:1" ht="14.25" customHeight="1" x14ac:dyDescent="0.2">
      <c r="A881" s="11"/>
    </row>
    <row r="882" spans="1:1" ht="14.25" customHeight="1" x14ac:dyDescent="0.2">
      <c r="A882" s="11"/>
    </row>
    <row r="883" spans="1:1" ht="14.25" customHeight="1" x14ac:dyDescent="0.2">
      <c r="A883" s="11"/>
    </row>
    <row r="884" spans="1:1" ht="14.25" customHeight="1" x14ac:dyDescent="0.2">
      <c r="A884" s="11"/>
    </row>
    <row r="885" spans="1:1" ht="14.25" customHeight="1" x14ac:dyDescent="0.2">
      <c r="A885" s="11"/>
    </row>
    <row r="886" spans="1:1" ht="14.25" customHeight="1" x14ac:dyDescent="0.2">
      <c r="A886" s="11"/>
    </row>
    <row r="887" spans="1:1" ht="14.25" customHeight="1" x14ac:dyDescent="0.2">
      <c r="A887" s="11"/>
    </row>
    <row r="888" spans="1:1" ht="14.25" customHeight="1" x14ac:dyDescent="0.2">
      <c r="A888" s="11"/>
    </row>
    <row r="889" spans="1:1" ht="14.25" customHeight="1" x14ac:dyDescent="0.2">
      <c r="A889" s="11"/>
    </row>
    <row r="890" spans="1:1" ht="14.25" customHeight="1" x14ac:dyDescent="0.2">
      <c r="A890" s="11"/>
    </row>
    <row r="891" spans="1:1" ht="14.25" customHeight="1" x14ac:dyDescent="0.2">
      <c r="A891" s="11"/>
    </row>
    <row r="892" spans="1:1" ht="14.25" customHeight="1" x14ac:dyDescent="0.2">
      <c r="A892" s="11"/>
    </row>
    <row r="893" spans="1:1" ht="14.25" customHeight="1" x14ac:dyDescent="0.2">
      <c r="A893" s="11"/>
    </row>
    <row r="894" spans="1:1" ht="14.25" customHeight="1" x14ac:dyDescent="0.2">
      <c r="A894" s="11"/>
    </row>
    <row r="895" spans="1:1" ht="14.25" customHeight="1" x14ac:dyDescent="0.2">
      <c r="A895" s="11"/>
    </row>
    <row r="896" spans="1:1" ht="14.25" customHeight="1" x14ac:dyDescent="0.2">
      <c r="A896" s="11"/>
    </row>
    <row r="897" spans="1:1" ht="14.25" customHeight="1" x14ac:dyDescent="0.2">
      <c r="A897" s="11"/>
    </row>
    <row r="898" spans="1:1" ht="14.25" customHeight="1" x14ac:dyDescent="0.2">
      <c r="A898" s="11"/>
    </row>
    <row r="899" spans="1:1" ht="14.25" customHeight="1" x14ac:dyDescent="0.2">
      <c r="A899" s="11"/>
    </row>
    <row r="900" spans="1:1" ht="14.25" customHeight="1" x14ac:dyDescent="0.2">
      <c r="A900" s="11"/>
    </row>
    <row r="901" spans="1:1" ht="14.25" customHeight="1" x14ac:dyDescent="0.2">
      <c r="A901" s="11"/>
    </row>
    <row r="902" spans="1:1" ht="14.25" customHeight="1" x14ac:dyDescent="0.2">
      <c r="A902" s="11"/>
    </row>
    <row r="903" spans="1:1" ht="14.25" customHeight="1" x14ac:dyDescent="0.2">
      <c r="A903" s="11"/>
    </row>
    <row r="904" spans="1:1" ht="14.25" customHeight="1" x14ac:dyDescent="0.2">
      <c r="A904" s="11"/>
    </row>
    <row r="905" spans="1:1" ht="14.25" customHeight="1" x14ac:dyDescent="0.2">
      <c r="A905" s="11"/>
    </row>
    <row r="906" spans="1:1" ht="14.25" customHeight="1" x14ac:dyDescent="0.2">
      <c r="A906" s="11"/>
    </row>
    <row r="907" spans="1:1" ht="14.25" customHeight="1" x14ac:dyDescent="0.2">
      <c r="A907" s="11"/>
    </row>
    <row r="908" spans="1:1" ht="14.25" customHeight="1" x14ac:dyDescent="0.2">
      <c r="A908" s="11"/>
    </row>
    <row r="909" spans="1:1" ht="14.25" customHeight="1" x14ac:dyDescent="0.2">
      <c r="A909" s="11"/>
    </row>
    <row r="910" spans="1:1" ht="14.25" customHeight="1" x14ac:dyDescent="0.2">
      <c r="A910" s="11"/>
    </row>
    <row r="911" spans="1:1" ht="14.25" customHeight="1" x14ac:dyDescent="0.2">
      <c r="A911" s="11"/>
    </row>
    <row r="912" spans="1:1" ht="14.25" customHeight="1" x14ac:dyDescent="0.2">
      <c r="A912" s="11"/>
    </row>
    <row r="913" spans="1:1" ht="14.25" customHeight="1" x14ac:dyDescent="0.2">
      <c r="A913" s="11"/>
    </row>
    <row r="914" spans="1:1" ht="14.25" customHeight="1" x14ac:dyDescent="0.2">
      <c r="A914" s="11"/>
    </row>
    <row r="915" spans="1:1" ht="14.25" customHeight="1" x14ac:dyDescent="0.2">
      <c r="A915" s="11"/>
    </row>
    <row r="916" spans="1:1" ht="14.25" customHeight="1" x14ac:dyDescent="0.2">
      <c r="A916" s="11"/>
    </row>
    <row r="917" spans="1:1" ht="14.25" customHeight="1" x14ac:dyDescent="0.2">
      <c r="A917" s="11"/>
    </row>
    <row r="918" spans="1:1" ht="14.25" customHeight="1" x14ac:dyDescent="0.2">
      <c r="A918" s="11"/>
    </row>
    <row r="919" spans="1:1" ht="14.25" customHeight="1" x14ac:dyDescent="0.2">
      <c r="A919" s="11"/>
    </row>
    <row r="920" spans="1:1" ht="14.25" customHeight="1" x14ac:dyDescent="0.2">
      <c r="A920" s="11"/>
    </row>
    <row r="921" spans="1:1" ht="14.25" customHeight="1" x14ac:dyDescent="0.2">
      <c r="A921" s="11"/>
    </row>
    <row r="922" spans="1:1" ht="14.25" customHeight="1" x14ac:dyDescent="0.2">
      <c r="A922" s="11"/>
    </row>
    <row r="923" spans="1:1" ht="14.25" customHeight="1" x14ac:dyDescent="0.2">
      <c r="A923" s="11"/>
    </row>
    <row r="924" spans="1:1" ht="14.25" customHeight="1" x14ac:dyDescent="0.2">
      <c r="A924" s="11"/>
    </row>
    <row r="925" spans="1:1" ht="14.25" customHeight="1" x14ac:dyDescent="0.2">
      <c r="A925" s="11"/>
    </row>
    <row r="926" spans="1:1" ht="14.25" customHeight="1" x14ac:dyDescent="0.2">
      <c r="A926" s="11"/>
    </row>
    <row r="927" spans="1:1" ht="14.25" customHeight="1" x14ac:dyDescent="0.2">
      <c r="A927" s="11"/>
    </row>
    <row r="928" spans="1:1" ht="14.25" customHeight="1" x14ac:dyDescent="0.2">
      <c r="A928" s="11"/>
    </row>
    <row r="929" spans="1:1" ht="14.25" customHeight="1" x14ac:dyDescent="0.2">
      <c r="A929" s="11"/>
    </row>
    <row r="930" spans="1:1" ht="14.25" customHeight="1" x14ac:dyDescent="0.2">
      <c r="A930" s="11"/>
    </row>
    <row r="931" spans="1:1" ht="14.25" customHeight="1" x14ac:dyDescent="0.2">
      <c r="A931" s="11"/>
    </row>
    <row r="932" spans="1:1" ht="14.25" customHeight="1" x14ac:dyDescent="0.2">
      <c r="A932" s="11"/>
    </row>
    <row r="933" spans="1:1" ht="14.25" customHeight="1" x14ac:dyDescent="0.2">
      <c r="A933" s="11"/>
    </row>
    <row r="934" spans="1:1" ht="14.25" customHeight="1" x14ac:dyDescent="0.2">
      <c r="A934" s="11"/>
    </row>
    <row r="935" spans="1:1" ht="14.25" customHeight="1" x14ac:dyDescent="0.2">
      <c r="A935" s="11"/>
    </row>
    <row r="936" spans="1:1" ht="14.25" customHeight="1" x14ac:dyDescent="0.2">
      <c r="A936" s="11"/>
    </row>
    <row r="937" spans="1:1" ht="14.25" customHeight="1" x14ac:dyDescent="0.2">
      <c r="A937" s="11"/>
    </row>
    <row r="938" spans="1:1" ht="14.25" customHeight="1" x14ac:dyDescent="0.2">
      <c r="A938" s="11"/>
    </row>
    <row r="939" spans="1:1" ht="14.25" customHeight="1" x14ac:dyDescent="0.2">
      <c r="A939" s="11"/>
    </row>
    <row r="940" spans="1:1" ht="14.25" customHeight="1" x14ac:dyDescent="0.2">
      <c r="A940" s="11"/>
    </row>
    <row r="941" spans="1:1" ht="14.25" customHeight="1" x14ac:dyDescent="0.2">
      <c r="A941" s="11"/>
    </row>
    <row r="942" spans="1:1" ht="14.25" customHeight="1" x14ac:dyDescent="0.2">
      <c r="A942" s="11"/>
    </row>
    <row r="943" spans="1:1" ht="14.25" customHeight="1" x14ac:dyDescent="0.2">
      <c r="A943" s="11"/>
    </row>
    <row r="944" spans="1:1" ht="14.25" customHeight="1" x14ac:dyDescent="0.2">
      <c r="A944" s="11"/>
    </row>
    <row r="945" spans="1:1" ht="14.25" customHeight="1" x14ac:dyDescent="0.2">
      <c r="A945" s="11"/>
    </row>
    <row r="946" spans="1:1" ht="14.25" customHeight="1" x14ac:dyDescent="0.2">
      <c r="A946" s="11"/>
    </row>
    <row r="947" spans="1:1" ht="14.25" customHeight="1" x14ac:dyDescent="0.2">
      <c r="A947" s="11"/>
    </row>
    <row r="948" spans="1:1" ht="14.25" customHeight="1" x14ac:dyDescent="0.2">
      <c r="A948" s="11"/>
    </row>
    <row r="949" spans="1:1" ht="14.25" customHeight="1" x14ac:dyDescent="0.2">
      <c r="A949" s="11"/>
    </row>
    <row r="950" spans="1:1" ht="14.25" customHeight="1" x14ac:dyDescent="0.2">
      <c r="A950" s="11"/>
    </row>
    <row r="951" spans="1:1" ht="14.25" customHeight="1" x14ac:dyDescent="0.2">
      <c r="A951" s="11"/>
    </row>
    <row r="952" spans="1:1" ht="14.25" customHeight="1" x14ac:dyDescent="0.2">
      <c r="A952" s="11"/>
    </row>
    <row r="953" spans="1:1" ht="14.25" customHeight="1" x14ac:dyDescent="0.2">
      <c r="A953" s="11"/>
    </row>
    <row r="954" spans="1:1" ht="14.25" customHeight="1" x14ac:dyDescent="0.2">
      <c r="A954" s="11"/>
    </row>
    <row r="955" spans="1:1" ht="14.25" customHeight="1" x14ac:dyDescent="0.2">
      <c r="A955" s="11"/>
    </row>
    <row r="956" spans="1:1" ht="14.25" customHeight="1" x14ac:dyDescent="0.2">
      <c r="A956" s="11"/>
    </row>
    <row r="957" spans="1:1" ht="14.25" customHeight="1" x14ac:dyDescent="0.2">
      <c r="A957" s="11"/>
    </row>
    <row r="958" spans="1:1" ht="14.25" customHeight="1" x14ac:dyDescent="0.2">
      <c r="A958" s="11"/>
    </row>
    <row r="959" spans="1:1" ht="14.25" customHeight="1" x14ac:dyDescent="0.2">
      <c r="A959" s="11"/>
    </row>
    <row r="960" spans="1:1" ht="14.25" customHeight="1" x14ac:dyDescent="0.2">
      <c r="A960" s="11"/>
    </row>
    <row r="961" spans="1:1" ht="14.25" customHeight="1" x14ac:dyDescent="0.2">
      <c r="A961" s="11"/>
    </row>
    <row r="962" spans="1:1" ht="14.25" customHeight="1" x14ac:dyDescent="0.2">
      <c r="A962" s="11"/>
    </row>
    <row r="963" spans="1:1" ht="14.25" customHeight="1" x14ac:dyDescent="0.2">
      <c r="A963" s="11"/>
    </row>
    <row r="964" spans="1:1" ht="14.25" customHeight="1" x14ac:dyDescent="0.2">
      <c r="A964" s="11"/>
    </row>
    <row r="965" spans="1:1" ht="14.25" customHeight="1" x14ac:dyDescent="0.2">
      <c r="A965" s="11"/>
    </row>
    <row r="966" spans="1:1" ht="14.25" customHeight="1" x14ac:dyDescent="0.2">
      <c r="A966" s="11"/>
    </row>
    <row r="967" spans="1:1" ht="14.25" customHeight="1" x14ac:dyDescent="0.2">
      <c r="A967" s="11"/>
    </row>
    <row r="968" spans="1:1" ht="14.25" customHeight="1" x14ac:dyDescent="0.2">
      <c r="A968" s="11"/>
    </row>
    <row r="969" spans="1:1" ht="14.25" customHeight="1" x14ac:dyDescent="0.2">
      <c r="A969" s="11"/>
    </row>
    <row r="970" spans="1:1" ht="14.25" customHeight="1" x14ac:dyDescent="0.2">
      <c r="A970" s="11"/>
    </row>
    <row r="971" spans="1:1" ht="14.25" customHeight="1" x14ac:dyDescent="0.2">
      <c r="A971" s="11"/>
    </row>
    <row r="972" spans="1:1" ht="14.25" customHeight="1" x14ac:dyDescent="0.2">
      <c r="A972" s="11"/>
    </row>
    <row r="973" spans="1:1" ht="14.25" customHeight="1" x14ac:dyDescent="0.2">
      <c r="A973" s="11"/>
    </row>
    <row r="974" spans="1:1" ht="14.25" customHeight="1" x14ac:dyDescent="0.2">
      <c r="A974" s="11"/>
    </row>
    <row r="975" spans="1:1" ht="14.25" customHeight="1" x14ac:dyDescent="0.2">
      <c r="A975" s="11"/>
    </row>
    <row r="976" spans="1:1" ht="14.25" customHeight="1" x14ac:dyDescent="0.2">
      <c r="A976" s="11"/>
    </row>
    <row r="977" spans="1:1" ht="14.25" customHeight="1" x14ac:dyDescent="0.2">
      <c r="A977" s="11"/>
    </row>
    <row r="978" spans="1:1" ht="14.25" customHeight="1" x14ac:dyDescent="0.2">
      <c r="A978" s="11"/>
    </row>
    <row r="979" spans="1:1" ht="14.25" customHeight="1" x14ac:dyDescent="0.2">
      <c r="A979" s="11"/>
    </row>
    <row r="980" spans="1:1" ht="14.25" customHeight="1" x14ac:dyDescent="0.2">
      <c r="A980" s="11"/>
    </row>
    <row r="981" spans="1:1" ht="14.25" customHeight="1" x14ac:dyDescent="0.2">
      <c r="A981" s="11"/>
    </row>
    <row r="982" spans="1:1" ht="14.25" customHeight="1" x14ac:dyDescent="0.2">
      <c r="A982" s="11"/>
    </row>
    <row r="983" spans="1:1" ht="14.25" customHeight="1" x14ac:dyDescent="0.2">
      <c r="A983" s="11"/>
    </row>
    <row r="984" spans="1:1" ht="14.25" customHeight="1" x14ac:dyDescent="0.2">
      <c r="A984" s="11"/>
    </row>
    <row r="985" spans="1:1" ht="14.25" customHeight="1" x14ac:dyDescent="0.2">
      <c r="A985" s="11"/>
    </row>
    <row r="986" spans="1:1" ht="14.25" customHeight="1" x14ac:dyDescent="0.2">
      <c r="A986" s="11"/>
    </row>
    <row r="987" spans="1:1" ht="14.25" customHeight="1" x14ac:dyDescent="0.2">
      <c r="A987" s="11"/>
    </row>
    <row r="988" spans="1:1" ht="14.25" customHeight="1" x14ac:dyDescent="0.2">
      <c r="A988" s="11"/>
    </row>
    <row r="989" spans="1:1" ht="14.25" customHeight="1" x14ac:dyDescent="0.2">
      <c r="A989" s="11"/>
    </row>
    <row r="990" spans="1:1" ht="14.25" customHeight="1" x14ac:dyDescent="0.2">
      <c r="A990" s="11"/>
    </row>
    <row r="991" spans="1:1" ht="14.25" customHeight="1" x14ac:dyDescent="0.2">
      <c r="A991" s="11"/>
    </row>
    <row r="992" spans="1:1" ht="14.25" customHeight="1" x14ac:dyDescent="0.2">
      <c r="A992" s="11"/>
    </row>
    <row r="993" spans="1:1" ht="14.25" customHeight="1" x14ac:dyDescent="0.2">
      <c r="A993" s="11"/>
    </row>
    <row r="994" spans="1:1" ht="14.25" customHeight="1" x14ac:dyDescent="0.2">
      <c r="A994" s="11"/>
    </row>
    <row r="995" spans="1:1" ht="14.25" customHeight="1" x14ac:dyDescent="0.2">
      <c r="A995" s="11"/>
    </row>
    <row r="996" spans="1:1" ht="14.25" customHeight="1" x14ac:dyDescent="0.2">
      <c r="A996" s="11"/>
    </row>
    <row r="997" spans="1:1" ht="14.25" customHeight="1" x14ac:dyDescent="0.2">
      <c r="A997" s="11"/>
    </row>
    <row r="998" spans="1:1" ht="14.25" customHeight="1" x14ac:dyDescent="0.2">
      <c r="A998" s="11"/>
    </row>
    <row r="999" spans="1:1" ht="14.25" customHeight="1" x14ac:dyDescent="0.2">
      <c r="A999" s="11"/>
    </row>
    <row r="1000" spans="1:1" ht="14.25" customHeight="1" x14ac:dyDescent="0.2">
      <c r="A1000" s="11"/>
    </row>
  </sheetData>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FB9A-9AC9-4860-811A-C523F123DDCC}">
  <sheetPr>
    <tabColor rgb="FFFF7C80"/>
  </sheetPr>
  <dimension ref="B1:D540"/>
  <sheetViews>
    <sheetView showGridLines="0" workbookViewId="0">
      <selection activeCell="C541" sqref="C541"/>
    </sheetView>
  </sheetViews>
  <sheetFormatPr baseColWidth="10" defaultColWidth="12.625" defaultRowHeight="15" customHeight="1" x14ac:dyDescent="0.2"/>
  <cols>
    <col min="1" max="1" width="4.625" style="123" customWidth="1"/>
    <col min="2" max="2" width="4.125" style="123" customWidth="1"/>
    <col min="3" max="3" width="100.75" style="143" customWidth="1"/>
    <col min="4" max="4" width="5.75" style="123" customWidth="1"/>
    <col min="5" max="19" width="10.625" style="123" customWidth="1"/>
    <col min="20" max="16384" width="12.625" style="123"/>
  </cols>
  <sheetData>
    <row r="1" spans="2:4" ht="14.25" customHeight="1" thickBot="1" x14ac:dyDescent="0.25">
      <c r="B1" s="124"/>
      <c r="C1" s="123"/>
    </row>
    <row r="2" spans="2:4" ht="58.5" customHeight="1" thickBot="1" x14ac:dyDescent="0.25">
      <c r="B2" s="272" t="s">
        <v>278</v>
      </c>
      <c r="C2" s="273"/>
      <c r="D2" s="274"/>
    </row>
    <row r="3" spans="2:4" ht="24" customHeight="1" thickBot="1" x14ac:dyDescent="0.25">
      <c r="B3" s="275" t="s">
        <v>797</v>
      </c>
      <c r="C3" s="273"/>
      <c r="D3" s="274"/>
    </row>
    <row r="4" spans="2:4" ht="23.25" customHeight="1" thickBot="1" x14ac:dyDescent="0.25">
      <c r="B4" s="125"/>
      <c r="C4" s="126" t="s">
        <v>110</v>
      </c>
      <c r="D4" s="127">
        <v>130</v>
      </c>
    </row>
    <row r="5" spans="2:4" ht="14.25" customHeight="1" x14ac:dyDescent="0.2">
      <c r="B5" s="128"/>
      <c r="C5" s="123"/>
      <c r="D5" s="129"/>
    </row>
    <row r="6" spans="2:4" ht="24" customHeight="1" x14ac:dyDescent="0.2">
      <c r="B6" s="276" t="s">
        <v>105</v>
      </c>
      <c r="C6" s="276"/>
      <c r="D6" s="276"/>
    </row>
    <row r="7" spans="2:4" s="131" customFormat="1" ht="27" customHeight="1" x14ac:dyDescent="0.2">
      <c r="B7" s="132">
        <v>1</v>
      </c>
      <c r="C7" s="133" t="str">
        <f>RESPUESTAS!BE7</f>
        <v>sueldo</v>
      </c>
      <c r="D7" s="134"/>
    </row>
    <row r="8" spans="2:4" s="131" customFormat="1" ht="27" customHeight="1" x14ac:dyDescent="0.2">
      <c r="B8" s="132">
        <v>2</v>
      </c>
      <c r="C8" s="133" t="str">
        <f>RESPUESTAS!BE8</f>
        <v>Estudios</v>
      </c>
      <c r="D8" s="134"/>
    </row>
    <row r="9" spans="2:4" s="131" customFormat="1" ht="27" customHeight="1" x14ac:dyDescent="0.2">
      <c r="B9" s="132">
        <v>3</v>
      </c>
      <c r="C9" s="133" t="str">
        <f>RESPUESTAS!BE9</f>
        <v>principalmente por la falta de un ambiente de trabajo positivo y de apoyo. Creo que un entorno donde se valore el crecimiento, la comunicación efectiva y el respeto mutuo es clave para seguir aportando lo mejor de mí</v>
      </c>
      <c r="D9" s="134"/>
    </row>
    <row r="10" spans="2:4" s="131" customFormat="1" ht="27" customHeight="1" x14ac:dyDescent="0.2">
      <c r="B10" s="132">
        <v>4</v>
      </c>
      <c r="C10" s="133" t="str">
        <f>RESPUESTAS!BE10</f>
        <v>mejora de salariario acorde a especilistas de sistemas en el mercado.</v>
      </c>
      <c r="D10" s="134"/>
    </row>
    <row r="11" spans="2:4" s="131" customFormat="1" ht="27" customHeight="1" x14ac:dyDescent="0.2">
      <c r="B11" s="132">
        <v>5</v>
      </c>
      <c r="C11" s="133" t="str">
        <f>RESPUESTAS!BE11</f>
        <v>Mejor oferta laboral</v>
      </c>
      <c r="D11" s="134"/>
    </row>
    <row r="12" spans="2:4" s="131" customFormat="1" ht="27" customHeight="1" x14ac:dyDescent="0.2">
      <c r="B12" s="132">
        <v>6</v>
      </c>
      <c r="C12" s="133" t="str">
        <f>RESPUESTAS!BE12</f>
        <v>REMUNERACION</v>
      </c>
      <c r="D12" s="134"/>
    </row>
    <row r="13" spans="2:4" s="131" customFormat="1" ht="27" customHeight="1" x14ac:dyDescent="0.2">
      <c r="B13" s="132">
        <v>7</v>
      </c>
      <c r="C13" s="133" t="str">
        <f>RESPUESTAS!BE13</f>
        <v>Mejora salarial</v>
      </c>
      <c r="D13" s="134"/>
    </row>
    <row r="14" spans="2:4" s="131" customFormat="1" ht="27" customHeight="1" x14ac:dyDescent="0.2">
      <c r="B14" s="132">
        <v>8</v>
      </c>
      <c r="C14" s="133" t="str">
        <f>RESPUESTAS!BE14</f>
        <v>UNA MEJORA SALARIAL</v>
      </c>
      <c r="D14" s="134"/>
    </row>
    <row r="15" spans="2:4" s="131" customFormat="1" ht="27" customHeight="1" x14ac:dyDescent="0.2">
      <c r="B15" s="132">
        <v>9</v>
      </c>
      <c r="C15" s="133" t="str">
        <f>RESPUESTAS!BE15</f>
        <v>Una mejor oferta laboral (economía o profesional)</v>
      </c>
      <c r="D15" s="134"/>
    </row>
    <row r="16" spans="2:4" s="131" customFormat="1" ht="27" customHeight="1" x14ac:dyDescent="0.2">
      <c r="B16" s="132">
        <v>10</v>
      </c>
      <c r="C16" s="133" t="str">
        <f>RESPUESTAS!BE16</f>
        <v>La sobrecarga de trabajo.</v>
      </c>
      <c r="D16" s="134"/>
    </row>
    <row r="17" spans="2:4" s="131" customFormat="1" ht="27" customHeight="1" x14ac:dyDescent="0.2">
      <c r="B17" s="132">
        <v>11</v>
      </c>
      <c r="C17" s="133" t="str">
        <f>RESPUESTAS!BE17</f>
        <v>No reconocen a un buen trabajador como debería ser.</v>
      </c>
      <c r="D17" s="134"/>
    </row>
    <row r="18" spans="2:4" s="131" customFormat="1" ht="27" customHeight="1" x14ac:dyDescent="0.2">
      <c r="B18" s="132">
        <v>12</v>
      </c>
      <c r="C18" s="133" t="str">
        <f>RESPUESTAS!BE18</f>
        <v>Edad máxima.</v>
      </c>
      <c r="D18" s="134"/>
    </row>
    <row r="19" spans="2:4" s="131" customFormat="1" ht="27" customHeight="1" x14ac:dyDescent="0.2">
      <c r="B19" s="132">
        <v>13</v>
      </c>
      <c r="C19" s="133" t="str">
        <f>RESPUESTAS!BE19</f>
        <v>OTRO</v>
      </c>
      <c r="D19" s="134"/>
    </row>
    <row r="20" spans="2:4" s="131" customFormat="1" ht="27" customHeight="1" x14ac:dyDescent="0.2">
      <c r="B20" s="132">
        <v>14</v>
      </c>
      <c r="C20" s="133" t="str">
        <f>RESPUESTAS!BE20</f>
        <v>Mejora economica</v>
      </c>
      <c r="D20" s="134"/>
    </row>
    <row r="21" spans="2:4" s="131" customFormat="1" ht="27" customHeight="1" x14ac:dyDescent="0.2">
      <c r="B21" s="132">
        <v>15</v>
      </c>
      <c r="C21" s="133" t="str">
        <f>RESPUESTAS!BE21</f>
        <v>Ambiente laboral</v>
      </c>
      <c r="D21" s="134"/>
    </row>
    <row r="22" spans="2:4" s="131" customFormat="1" ht="27" customHeight="1" x14ac:dyDescent="0.2">
      <c r="B22" s="132">
        <v>16</v>
      </c>
      <c r="C22" s="133" t="str">
        <f>RESPUESTAS!BE22</f>
        <v xml:space="preserve">NO HAY EQUIDAD Y NO VEN EL EMPEÑO QUE PONE CADA TRABAJADOR , Y SOLO SE LE CONSIDERA A UNO MAS QUE EL OTRO </v>
      </c>
      <c r="D22" s="134"/>
    </row>
    <row r="23" spans="2:4" s="131" customFormat="1" ht="27" customHeight="1" x14ac:dyDescent="0.2">
      <c r="B23" s="132">
        <v>17</v>
      </c>
      <c r="C23" s="133" t="str">
        <f>RESPUESTAS!BE23</f>
        <v>El salario no compensa mi trabajo realizado.</v>
      </c>
      <c r="D23" s="134"/>
    </row>
    <row r="24" spans="2:4" s="131" customFormat="1" ht="27" customHeight="1" x14ac:dyDescent="0.2">
      <c r="B24" s="132">
        <v>18</v>
      </c>
      <c r="C24" s="133" t="str">
        <f>RESPUESTAS!BE24</f>
        <v>Sueldo acordes a las competencia de mi conocimientos y a la responsabilidad
24/7 q nos asignan (por que los usuarios de paita son bien especiales ) :)</v>
      </c>
      <c r="D24" s="134"/>
    </row>
    <row r="25" spans="2:4" s="131" customFormat="1" ht="27" customHeight="1" x14ac:dyDescent="0.2">
      <c r="B25" s="132">
        <v>19</v>
      </c>
      <c r="C25" s="133" t="str">
        <f>RESPUESTAS!BE25</f>
        <v>salarial</v>
      </c>
      <c r="D25" s="134"/>
    </row>
    <row r="26" spans="2:4" s="131" customFormat="1" ht="14.25" x14ac:dyDescent="0.2">
      <c r="B26" s="132">
        <v>20</v>
      </c>
      <c r="C26" s="133" t="str">
        <f>RESPUESTAS!BE26</f>
        <v>remuneracion y falta de reconocimiento de trabajo y mejorias personales</v>
      </c>
      <c r="D26" s="134"/>
    </row>
    <row r="27" spans="2:4" s="131" customFormat="1" ht="27" customHeight="1" x14ac:dyDescent="0.2">
      <c r="B27" s="132">
        <v>21</v>
      </c>
      <c r="C27" s="133" t="str">
        <f>RESPUESTAS!BE27</f>
        <v>MEJORA PROFESIONAL YA QUE NO EN MI PUESTO NO HAY UNA CAPACITACION CONTINUA, Y POR UN MEJOR SUELDO DE ACUERDO A LA COMPETENCIA DE MIS CONOCIMIENTOS Y RESPONSABILIDAD ASIGNADA</v>
      </c>
      <c r="D27" s="134"/>
    </row>
    <row r="28" spans="2:4" s="131" customFormat="1" ht="27" customHeight="1" x14ac:dyDescent="0.2">
      <c r="B28" s="132">
        <v>22</v>
      </c>
      <c r="C28" s="133" t="str">
        <f>RESPUESTAS!BE28</f>
        <v xml:space="preserve">POR CRECIMIENTO PROFESIONAL </v>
      </c>
      <c r="D28" s="134"/>
    </row>
    <row r="29" spans="2:4" s="131" customFormat="1" ht="27" customHeight="1" x14ac:dyDescent="0.2">
      <c r="B29" s="132">
        <v>23</v>
      </c>
      <c r="C29" s="133" t="str">
        <f>RESPUESTAS!BE29</f>
        <v>cecimiento laboral</v>
      </c>
      <c r="D29" s="134"/>
    </row>
    <row r="30" spans="2:4" s="131" customFormat="1" ht="27" customHeight="1" x14ac:dyDescent="0.2">
      <c r="B30" s="132">
        <v>24</v>
      </c>
      <c r="C30" s="133" t="str">
        <f>RESPUESTAS!BE30</f>
        <v xml:space="preserve">Sobrecarga de trabajo sin reconocer ni incentivos </v>
      </c>
      <c r="D30" s="134"/>
    </row>
    <row r="31" spans="2:4" s="131" customFormat="1" ht="27" customHeight="1" x14ac:dyDescent="0.2">
      <c r="B31" s="132">
        <v>25</v>
      </c>
      <c r="C31" s="133" t="str">
        <f>RESPUESTAS!BE31</f>
        <v xml:space="preserve">NO TENGO EN MI MENTE ESA IDEA </v>
      </c>
      <c r="D31" s="134"/>
    </row>
    <row r="32" spans="2:4" s="131" customFormat="1" ht="27" customHeight="1" x14ac:dyDescent="0.2">
      <c r="B32" s="132">
        <v>26</v>
      </c>
      <c r="C32" s="133" t="str">
        <f>RESPUESTAS!BE32</f>
        <v>Horarios de trabajo y baja remuneración</v>
      </c>
      <c r="D32" s="134"/>
    </row>
    <row r="33" spans="2:4" s="131" customFormat="1" ht="27" customHeight="1" x14ac:dyDescent="0.2">
      <c r="B33" s="132">
        <v>27</v>
      </c>
      <c r="C33" s="133" t="str">
        <f>RESPUESTAS!BE33</f>
        <v>una mejor propuesta de trabajo</v>
      </c>
      <c r="D33" s="134"/>
    </row>
    <row r="34" spans="2:4" s="131" customFormat="1" ht="27" customHeight="1" x14ac:dyDescent="0.2">
      <c r="B34" s="132">
        <v>28</v>
      </c>
      <c r="C34" s="133" t="str">
        <f>RESPUESTAS!BE34</f>
        <v>SALARIO</v>
      </c>
      <c r="D34" s="134"/>
    </row>
    <row r="35" spans="2:4" s="131" customFormat="1" ht="27" customHeight="1" x14ac:dyDescent="0.2">
      <c r="B35" s="132">
        <v>29</v>
      </c>
      <c r="C35" s="133" t="str">
        <f>RESPUESTAS!BE35</f>
        <v>UNA MEJOR PROPUESTA</v>
      </c>
      <c r="D35" s="134"/>
    </row>
    <row r="36" spans="2:4" s="131" customFormat="1" ht="27" customHeight="1" x14ac:dyDescent="0.2">
      <c r="B36" s="132">
        <v>30</v>
      </c>
      <c r="C36" s="133" t="str">
        <f>RESPUESTAS!BE36</f>
        <v>UNA BUENA OFERTA DE TRABAJO</v>
      </c>
      <c r="D36" s="134"/>
    </row>
    <row r="37" spans="2:4" s="131" customFormat="1" ht="27" customHeight="1" x14ac:dyDescent="0.2">
      <c r="B37" s="132">
        <v>31</v>
      </c>
      <c r="C37" s="133" t="str">
        <f>RESPUESTAS!BE37</f>
        <v xml:space="preserve">POR UNA MEJOR PROPUSTA DE REMUNERABLE </v>
      </c>
      <c r="D37" s="134"/>
    </row>
    <row r="38" spans="2:4" s="131" customFormat="1" ht="27" customHeight="1" x14ac:dyDescent="0.2">
      <c r="B38" s="132">
        <v>32</v>
      </c>
      <c r="C38" s="133" t="str">
        <f>RESPUESTAS!BE38</f>
        <v xml:space="preserve">MOTIVOS PERSONALES </v>
      </c>
      <c r="D38" s="134"/>
    </row>
    <row r="39" spans="2:4" s="131" customFormat="1" ht="27" customHeight="1" x14ac:dyDescent="0.2">
      <c r="B39" s="132">
        <v>33</v>
      </c>
      <c r="C39" s="133" t="str">
        <f>RESPUESTAS!BE39</f>
        <v>distancia de mi casa al centro de labores</v>
      </c>
      <c r="D39" s="134"/>
    </row>
    <row r="40" spans="2:4" s="131" customFormat="1" ht="27" customHeight="1" x14ac:dyDescent="0.2">
      <c r="B40" s="132">
        <v>34</v>
      </c>
      <c r="C40" s="133" t="str">
        <f>RESPUESTAS!BE40</f>
        <v>Mejora laboral</v>
      </c>
      <c r="D40" s="134"/>
    </row>
    <row r="41" spans="2:4" s="131" customFormat="1" ht="27" customHeight="1" x14ac:dyDescent="0.2">
      <c r="B41" s="132">
        <v>35</v>
      </c>
      <c r="C41" s="133" t="str">
        <f>RESPUESTAS!BE41</f>
        <v>EL SUELDO</v>
      </c>
      <c r="D41" s="134"/>
    </row>
    <row r="42" spans="2:4" s="131" customFormat="1" ht="27" customHeight="1" x14ac:dyDescent="0.2">
      <c r="B42" s="132">
        <v>36</v>
      </c>
      <c r="C42" s="133" t="str">
        <f>RESPUESTAS!BE42</f>
        <v>REMUNERACIÓN</v>
      </c>
      <c r="D42" s="134"/>
    </row>
    <row r="43" spans="2:4" s="131" customFormat="1" ht="27" customHeight="1" x14ac:dyDescent="0.2">
      <c r="B43" s="132">
        <v>37</v>
      </c>
      <c r="C43" s="133" t="str">
        <f>RESPUESTAS!BE43</f>
        <v>por temas familiares</v>
      </c>
      <c r="D43" s="134"/>
    </row>
    <row r="44" spans="2:4" s="131" customFormat="1" ht="27" customHeight="1" x14ac:dyDescent="0.2">
      <c r="B44" s="132">
        <v>38</v>
      </c>
      <c r="C44" s="133" t="str">
        <f>RESPUESTAS!BE44</f>
        <v xml:space="preserve">SUELDO </v>
      </c>
      <c r="D44" s="134"/>
    </row>
    <row r="45" spans="2:4" s="131" customFormat="1" ht="27" customHeight="1" x14ac:dyDescent="0.2">
      <c r="B45" s="132">
        <v>39</v>
      </c>
      <c r="C45" s="133" t="str">
        <f>RESPUESTAS!BE45</f>
        <v>.</v>
      </c>
      <c r="D45" s="134"/>
    </row>
    <row r="46" spans="2:4" s="131" customFormat="1" ht="27" customHeight="1" x14ac:dyDescent="0.2">
      <c r="B46" s="132">
        <v>40</v>
      </c>
      <c r="C46" s="133" t="str">
        <f>RESPUESTAS!BE46</f>
        <v>Mayor enfoque y remuneración acorde a mi carrera profesional</v>
      </c>
      <c r="D46" s="134"/>
    </row>
    <row r="47" spans="2:4" s="131" customFormat="1" ht="27" customHeight="1" x14ac:dyDescent="0.2">
      <c r="B47" s="132">
        <v>41</v>
      </c>
      <c r="C47" s="133" t="str">
        <f>RESPUESTAS!BE47</f>
        <v xml:space="preserve">POR MOTIVOS DE DEUDAS </v>
      </c>
      <c r="D47" s="134"/>
    </row>
    <row r="48" spans="2:4" s="131" customFormat="1" ht="27" customHeight="1" x14ac:dyDescent="0.2">
      <c r="B48" s="132">
        <v>42</v>
      </c>
      <c r="C48" s="133" t="str">
        <f>RESPUESTAS!BE48</f>
        <v>No tendtia motivo</v>
      </c>
      <c r="D48" s="134"/>
    </row>
    <row r="49" spans="2:4" s="131" customFormat="1" ht="27" customHeight="1" x14ac:dyDescent="0.2">
      <c r="B49" s="132">
        <v>43</v>
      </c>
      <c r="C49" s="133" t="str">
        <f>RESPUESTAS!BE49</f>
        <v xml:space="preserve">REMUNERACION, Y APOYO CUANDO SE NECESITA POR ALGUNA NECESIDAD IMPORTANTE </v>
      </c>
      <c r="D49" s="134"/>
    </row>
    <row r="50" spans="2:4" s="131" customFormat="1" ht="27" customHeight="1" x14ac:dyDescent="0.2">
      <c r="B50" s="132">
        <v>44</v>
      </c>
      <c r="C50" s="133" t="str">
        <f>RESPUESTAS!BE50</f>
        <v>EL AUMENTO QUE ME DIJIERON QUE ME IBAN A BENEFICIAR, PERO HASTA AHORA NO PASA</v>
      </c>
      <c r="D50" s="134"/>
    </row>
    <row r="51" spans="2:4" s="131" customFormat="1" ht="27" customHeight="1" x14ac:dyDescent="0.2">
      <c r="B51" s="132">
        <v>45</v>
      </c>
      <c r="C51" s="133" t="str">
        <f>RESPUESTAS!BE51</f>
        <v>una mejor oportunidad y por sueldo</v>
      </c>
      <c r="D51" s="134"/>
    </row>
    <row r="52" spans="2:4" s="131" customFormat="1" ht="27" customHeight="1" x14ac:dyDescent="0.2">
      <c r="B52" s="132">
        <v>46</v>
      </c>
      <c r="C52" s="133" t="str">
        <f>RESPUESTAS!BE52</f>
        <v xml:space="preserve">Por temas personales </v>
      </c>
      <c r="D52" s="134"/>
    </row>
    <row r="53" spans="2:4" s="131" customFormat="1" ht="27" customHeight="1" x14ac:dyDescent="0.2">
      <c r="B53" s="132">
        <v>47</v>
      </c>
      <c r="C53" s="133" t="str">
        <f>RESPUESTAS!BE53</f>
        <v>Una mejora oportunidad laboral</v>
      </c>
      <c r="D53" s="134"/>
    </row>
    <row r="54" spans="2:4" s="131" customFormat="1" ht="27" customHeight="1" x14ac:dyDescent="0.2">
      <c r="B54" s="132">
        <v>48</v>
      </c>
      <c r="C54" s="133" t="str">
        <f>RESPUESTAS!BE54</f>
        <v>Salarial.</v>
      </c>
      <c r="D54" s="134"/>
    </row>
    <row r="55" spans="2:4" s="131" customFormat="1" ht="27" customHeight="1" x14ac:dyDescent="0.2">
      <c r="B55" s="132">
        <v>49</v>
      </c>
      <c r="C55" s="133" t="str">
        <f>RESPUESTAS!BE55</f>
        <v xml:space="preserve">El sueldo y beneficios </v>
      </c>
      <c r="D55" s="134"/>
    </row>
    <row r="56" spans="2:4" s="131" customFormat="1" ht="27" customHeight="1" x14ac:dyDescent="0.2">
      <c r="B56" s="132">
        <v>50</v>
      </c>
      <c r="C56" s="133" t="str">
        <f>RESPUESTAS!BE56</f>
        <v>.</v>
      </c>
      <c r="D56" s="134"/>
    </row>
    <row r="57" spans="2:4" s="131" customFormat="1" ht="27" customHeight="1" x14ac:dyDescent="0.2">
      <c r="B57" s="132">
        <v>51</v>
      </c>
      <c r="C57" s="133" t="str">
        <f>RESPUESTAS!BE57</f>
        <v>REMUNERACIÓN BAJA</v>
      </c>
      <c r="D57" s="134"/>
    </row>
    <row r="58" spans="2:4" s="131" customFormat="1" ht="27" customHeight="1" x14ac:dyDescent="0.2">
      <c r="B58" s="132">
        <v>52</v>
      </c>
      <c r="C58" s="133" t="str">
        <f>RESPUESTAS!BE58</f>
        <v xml:space="preserve">MEJOR SUELDO </v>
      </c>
      <c r="D58" s="134"/>
    </row>
    <row r="59" spans="2:4" s="131" customFormat="1" ht="27" customHeight="1" x14ac:dyDescent="0.2">
      <c r="B59" s="132">
        <v>53</v>
      </c>
      <c r="C59" s="133" t="str">
        <f>RESPUESTAS!BE59</f>
        <v xml:space="preserve">bajo salario </v>
      </c>
      <c r="D59" s="134"/>
    </row>
    <row r="60" spans="2:4" s="131" customFormat="1" ht="27" customHeight="1" x14ac:dyDescent="0.2">
      <c r="B60" s="132">
        <v>54</v>
      </c>
      <c r="C60" s="133" t="str">
        <f>RESPUESTAS!BE60</f>
        <v xml:space="preserve">MI REMUNERACIÓN </v>
      </c>
      <c r="D60" s="134"/>
    </row>
    <row r="61" spans="2:4" s="131" customFormat="1" ht="27" customHeight="1" x14ac:dyDescent="0.2">
      <c r="B61" s="132">
        <v>55</v>
      </c>
      <c r="C61" s="133" t="str">
        <f>RESPUESTAS!BE61</f>
        <v>Seria solo si me encontraria muy mal de salud o algo grave .</v>
      </c>
      <c r="D61" s="134"/>
    </row>
    <row r="62" spans="2:4" s="131" customFormat="1" ht="27" customHeight="1" x14ac:dyDescent="0.2">
      <c r="B62" s="132">
        <v>56</v>
      </c>
      <c r="C62" s="133" t="str">
        <f>RESPUESTAS!BE62</f>
        <v>Mejor reconocimiento para el trabajo realizado en el turno noche, tanto de forma operativa (el trabajo diario). Cómo también mejorar el sueldo brindado, que no guarda una buena relación con el tipo de trabajo que realizo y el horario.</v>
      </c>
      <c r="D62" s="134"/>
    </row>
    <row r="63" spans="2:4" s="131" customFormat="1" ht="27" customHeight="1" x14ac:dyDescent="0.2">
      <c r="B63" s="132">
        <v>57</v>
      </c>
      <c r="C63" s="133" t="str">
        <f>RESPUESTAS!BE63</f>
        <v>Por nuevas oportunidades laboral</v>
      </c>
      <c r="D63" s="134"/>
    </row>
    <row r="64" spans="2:4" s="131" customFormat="1" ht="14.25" x14ac:dyDescent="0.2">
      <c r="B64" s="132">
        <v>58</v>
      </c>
      <c r="C64" s="133" t="str">
        <f>RESPUESTAS!BE64</f>
        <v>Crecimiento profesional.</v>
      </c>
      <c r="D64" s="134"/>
    </row>
    <row r="65" spans="2:4" s="131" customFormat="1" ht="27" customHeight="1" x14ac:dyDescent="0.2">
      <c r="B65" s="132">
        <v>59</v>
      </c>
      <c r="C65" s="133" t="str">
        <f>RESPUESTAS!BE65</f>
        <v>Mejora salarial y crecimiento profesional</v>
      </c>
      <c r="D65" s="134"/>
    </row>
    <row r="66" spans="2:4" s="131" customFormat="1" ht="27" customHeight="1" x14ac:dyDescent="0.2">
      <c r="B66" s="132">
        <v>60</v>
      </c>
      <c r="C66" s="133" t="str">
        <f>RESPUESTAS!BE66</f>
        <v>por la mala coordinación al coordinador le falta todavía aprender  de documentación y  aprender operaciones de campo que desconoce  al momento de algún  problema con la operación asignada desconoce aveces y pienso q el coordinador TMB debería contar con acreditación de sunat sería un gran apoyo para las operaciones  como en otras agencias que e laborado .</v>
      </c>
      <c r="D66" s="134"/>
    </row>
    <row r="67" spans="2:4" s="131" customFormat="1" ht="27" customHeight="1" x14ac:dyDescent="0.2">
      <c r="B67" s="132">
        <v>61</v>
      </c>
      <c r="C67" s="133" t="str">
        <f>RESPUESTAS!BE67</f>
        <v xml:space="preserve">una nueva experiencia laboral </v>
      </c>
      <c r="D67" s="134"/>
    </row>
    <row r="68" spans="2:4" s="131" customFormat="1" ht="27" customHeight="1" x14ac:dyDescent="0.2">
      <c r="B68" s="132">
        <v>62</v>
      </c>
      <c r="C68" s="133" t="str">
        <f>RESPUESTAS!BE68</f>
        <v>Por nuevas oportunidades que me ayuden a crecer profesionalmente y por un puesto mejor remunerado.</v>
      </c>
      <c r="D68" s="134"/>
    </row>
    <row r="69" spans="2:4" s="131" customFormat="1" ht="27" customHeight="1" x14ac:dyDescent="0.2">
      <c r="B69" s="132">
        <v>63</v>
      </c>
      <c r="C69" s="133" t="str">
        <f>RESPUESTAS!BE69</f>
        <v>.</v>
      </c>
      <c r="D69" s="134"/>
    </row>
    <row r="70" spans="2:4" s="131" customFormat="1" ht="27" customHeight="1" x14ac:dyDescent="0.2">
      <c r="B70" s="132">
        <v>64</v>
      </c>
      <c r="C70" s="133" t="str">
        <f>RESPUESTAS!BE70</f>
        <v>Por mejoras profecionales</v>
      </c>
      <c r="D70" s="134"/>
    </row>
    <row r="71" spans="2:4" s="131" customFormat="1" ht="27" customHeight="1" x14ac:dyDescent="0.2">
      <c r="B71" s="132">
        <v>65</v>
      </c>
      <c r="C71" s="133" t="str">
        <f>RESPUESTAS!BE71</f>
        <v>Salario</v>
      </c>
      <c r="D71" s="134"/>
    </row>
    <row r="72" spans="2:4" s="131" customFormat="1" ht="27" customHeight="1" x14ac:dyDescent="0.2">
      <c r="B72" s="132">
        <v>66</v>
      </c>
      <c r="C72" s="133" t="str">
        <f>RESPUESTAS!BE72</f>
        <v>Mejora salarial</v>
      </c>
      <c r="D72" s="134"/>
    </row>
    <row r="73" spans="2:4" s="131" customFormat="1" ht="27" customHeight="1" x14ac:dyDescent="0.2">
      <c r="B73" s="132">
        <v>67</v>
      </c>
      <c r="C73" s="133" t="str">
        <f>RESPUESTAS!BE73</f>
        <v>Renunciaría si sintiera que no tengo oportunidades de desarrolo profesional dentro de la empresa, ni a mediano ni a largo plazo. Si bien es cierto, DACHASAC ofrece múltiples beneficios e incentivos para todos los trabajadores y es algo que aprecio y tengo que agradecer porque jamás había visto tantos detalles por parte de una entidad en días festivos, y es muy bonito, porque refleja la estima y el compromiso que tiene la empresa con sus colaboradores, con su equipo, sin embargo, si tomara la decisión de irme sería porque busco una oportunidad donde pueda aplicar más mis conocimientos de la carrera profesional que estudié y desarrollarme en áreas que me desafíen y me permitan expandir mi conocimiento y mis habilidades.</v>
      </c>
      <c r="D73" s="134"/>
    </row>
    <row r="74" spans="2:4" s="131" customFormat="1" ht="27" customHeight="1" x14ac:dyDescent="0.2">
      <c r="B74" s="132">
        <v>68</v>
      </c>
      <c r="C74" s="133" t="str">
        <f>RESPUESTAS!BE74</f>
        <v>Motivos personales.</v>
      </c>
      <c r="D74" s="134"/>
    </row>
    <row r="75" spans="2:4" s="131" customFormat="1" ht="27" customHeight="1" x14ac:dyDescent="0.2">
      <c r="B75" s="132">
        <v>69</v>
      </c>
      <c r="C75" s="133" t="str">
        <f>RESPUESTAS!BE75</f>
        <v>Una oferta laboral  donde el salario sea mayor y poder solventar mis gastos.</v>
      </c>
      <c r="D75" s="134"/>
    </row>
    <row r="76" spans="2:4" s="131" customFormat="1" ht="27" customHeight="1" x14ac:dyDescent="0.2">
      <c r="B76" s="132">
        <v>70</v>
      </c>
      <c r="C76" s="133" t="str">
        <f>RESPUESTAS!BE76</f>
        <v>.</v>
      </c>
      <c r="D76" s="134"/>
    </row>
    <row r="77" spans="2:4" s="131" customFormat="1" ht="27" customHeight="1" x14ac:dyDescent="0.2">
      <c r="B77" s="132">
        <v>71</v>
      </c>
      <c r="C77" s="133" t="str">
        <f>RESPUESTAS!BE77</f>
        <v>El sueldo no va acorde al horario de 12 horas.</v>
      </c>
      <c r="D77" s="134"/>
    </row>
    <row r="78" spans="2:4" s="131" customFormat="1" ht="27" customHeight="1" x14ac:dyDescent="0.2">
      <c r="B78" s="132">
        <v>72</v>
      </c>
      <c r="C78" s="133" t="str">
        <f>RESPUESTAS!BE78</f>
        <v>Tiempo de contrato (Renovaciones por 1 mes o 2); sueldo acorde a experiencia y estudios obtenidos, oportunidades de crecimiento profesional.</v>
      </c>
      <c r="D78" s="134"/>
    </row>
    <row r="79" spans="2:4" s="131" customFormat="1" ht="27" customHeight="1" x14ac:dyDescent="0.2">
      <c r="B79" s="132">
        <v>73</v>
      </c>
      <c r="C79" s="133" t="str">
        <f>RESPUESTAS!BE79</f>
        <v>El sueldo es bajo en comparación a otras agencias a pesar q se trabaja 12 hiras</v>
      </c>
      <c r="D79" s="134"/>
    </row>
    <row r="80" spans="2:4" s="131" customFormat="1" ht="27" customHeight="1" x14ac:dyDescent="0.2">
      <c r="B80" s="132">
        <v>74</v>
      </c>
      <c r="C80" s="133" t="str">
        <f>RESPUESTAS!BE80</f>
        <v>SALARIO Y AMBIENTE LABORAL</v>
      </c>
      <c r="D80" s="134"/>
    </row>
    <row r="81" spans="2:4" s="131" customFormat="1" ht="27" customHeight="1" x14ac:dyDescent="0.2">
      <c r="B81" s="132">
        <v>75</v>
      </c>
      <c r="C81" s="133" t="str">
        <f>RESPUESTAS!BE81</f>
        <v>Una mejor oferta laboral.</v>
      </c>
      <c r="D81" s="134"/>
    </row>
    <row r="82" spans="2:4" s="131" customFormat="1" ht="27" customHeight="1" x14ac:dyDescent="0.2">
      <c r="B82" s="132">
        <v>76</v>
      </c>
      <c r="C82" s="133" t="str">
        <f>RESPUESTAS!BE82</f>
        <v xml:space="preserve">Mejor remuneración </v>
      </c>
      <c r="D82" s="134"/>
    </row>
    <row r="83" spans="2:4" s="131" customFormat="1" ht="27" customHeight="1" x14ac:dyDescent="0.2">
      <c r="B83" s="132">
        <v>77</v>
      </c>
      <c r="C83" s="133" t="str">
        <f>RESPUESTAS!BE83</f>
        <v>Mejor sueldo.</v>
      </c>
      <c r="D83" s="134"/>
    </row>
    <row r="84" spans="2:4" s="131" customFormat="1" ht="27" customHeight="1" x14ac:dyDescent="0.2">
      <c r="B84" s="132">
        <v>78</v>
      </c>
      <c r="C84" s="133" t="str">
        <f>RESPUESTAS!BE84</f>
        <v>no tendría ningún motivo de renuncia</v>
      </c>
      <c r="D84" s="134"/>
    </row>
    <row r="85" spans="2:4" s="131" customFormat="1" ht="27" customHeight="1" x14ac:dyDescent="0.2">
      <c r="B85" s="132">
        <v>79</v>
      </c>
      <c r="C85" s="133" t="str">
        <f>RESPUESTAS!BE85</f>
        <v>Una mejor oferta laboral</v>
      </c>
      <c r="D85" s="134"/>
    </row>
    <row r="86" spans="2:4" s="131" customFormat="1" ht="27" customHeight="1" x14ac:dyDescent="0.2">
      <c r="B86" s="132">
        <v>80</v>
      </c>
      <c r="C86" s="133" t="str">
        <f>RESPUESTAS!BE86</f>
        <v xml:space="preserve">otra propuesta laboral </v>
      </c>
      <c r="D86" s="134"/>
    </row>
    <row r="87" spans="2:4" s="131" customFormat="1" ht="27" customHeight="1" x14ac:dyDescent="0.2">
      <c r="B87" s="132">
        <v>81</v>
      </c>
      <c r="C87" s="133" t="str">
        <f>RESPUESTAS!BE87</f>
        <v>Falta de reconocimiento, mal clima laboral , distribución de carga laboral incorrecta.</v>
      </c>
      <c r="D87" s="134"/>
    </row>
    <row r="88" spans="2:4" s="131" customFormat="1" ht="27" customHeight="1" x14ac:dyDescent="0.2">
      <c r="B88" s="132">
        <v>82</v>
      </c>
      <c r="C88" s="133" t="str">
        <f>RESPUESTAS!BE88</f>
        <v>Mejoras laborales con un sueldo mayor ,ya que  la situación económica esta alta en los precios de las cosas.</v>
      </c>
      <c r="D88" s="134"/>
    </row>
    <row r="89" spans="2:4" s="131" customFormat="1" ht="27" customHeight="1" x14ac:dyDescent="0.2">
      <c r="B89" s="132">
        <v>83</v>
      </c>
      <c r="C89" s="133" t="str">
        <f>RESPUESTAS!BE89</f>
        <v xml:space="preserve">Por aprender más en el tema profesional </v>
      </c>
      <c r="D89" s="134"/>
    </row>
    <row r="90" spans="2:4" s="131" customFormat="1" ht="27" customHeight="1" x14ac:dyDescent="0.2">
      <c r="B90" s="132">
        <v>84</v>
      </c>
      <c r="C90" s="133" t="str">
        <f>RESPUESTAS!BE90</f>
        <v>Mejoras salariales</v>
      </c>
      <c r="D90" s="134"/>
    </row>
    <row r="91" spans="2:4" s="131" customFormat="1" ht="27" customHeight="1" x14ac:dyDescent="0.2">
      <c r="B91" s="132">
        <v>85</v>
      </c>
      <c r="C91" s="133" t="str">
        <f>RESPUESTAS!BE91</f>
        <v xml:space="preserve">La </v>
      </c>
      <c r="D91" s="134"/>
    </row>
    <row r="92" spans="2:4" s="131" customFormat="1" ht="27" customHeight="1" x14ac:dyDescent="0.2">
      <c r="B92" s="132">
        <v>86</v>
      </c>
      <c r="C92" s="133" t="str">
        <f>RESPUESTAS!BE92</f>
        <v xml:space="preserve">Por  un nuevo salario </v>
      </c>
      <c r="D92" s="134"/>
    </row>
    <row r="93" spans="2:4" s="131" customFormat="1" ht="27" customHeight="1" x14ac:dyDescent="0.2">
      <c r="B93" s="132">
        <v>87</v>
      </c>
      <c r="C93" s="133" t="str">
        <f>RESPUESTAS!BE93</f>
        <v>remuneracion</v>
      </c>
      <c r="D93" s="134"/>
    </row>
    <row r="94" spans="2:4" s="131" customFormat="1" ht="27" customHeight="1" x14ac:dyDescent="0.2">
      <c r="B94" s="132">
        <v>88</v>
      </c>
      <c r="C94" s="133" t="str">
        <f>RESPUESTAS!BE94</f>
        <v xml:space="preserve">Porque conseguí otro trabajo con mejor sueldo </v>
      </c>
      <c r="D94" s="134"/>
    </row>
    <row r="95" spans="2:4" s="131" customFormat="1" ht="27" customHeight="1" x14ac:dyDescent="0.2">
      <c r="B95" s="132">
        <v>89</v>
      </c>
      <c r="C95" s="133" t="str">
        <f>RESPUESTAS!BE95</f>
        <v>MEJOR PROPUESTA SALARIAL</v>
      </c>
      <c r="D95" s="134"/>
    </row>
    <row r="96" spans="2:4" s="131" customFormat="1" ht="27" customHeight="1" x14ac:dyDescent="0.2">
      <c r="B96" s="132">
        <v>90</v>
      </c>
      <c r="C96" s="133" t="str">
        <f>RESPUESTAS!BE96</f>
        <v>Mejoria salarial</v>
      </c>
      <c r="D96" s="134"/>
    </row>
    <row r="97" spans="2:4" s="131" customFormat="1" ht="27" customHeight="1" x14ac:dyDescent="0.2">
      <c r="B97" s="132">
        <v>91</v>
      </c>
      <c r="C97" s="133" t="str">
        <f>RESPUESTAS!BE97</f>
        <v>La remuneración no es la adecuada ni cumple con mis estándares</v>
      </c>
      <c r="D97" s="134"/>
    </row>
    <row r="98" spans="2:4" s="131" customFormat="1" ht="27" customHeight="1" x14ac:dyDescent="0.2">
      <c r="B98" s="132">
        <v>92</v>
      </c>
      <c r="C98" s="133" t="str">
        <f>RESPUESTAS!BE98</f>
        <v xml:space="preserve">La Remuneración  </v>
      </c>
      <c r="D98" s="134"/>
    </row>
    <row r="99" spans="2:4" s="131" customFormat="1" ht="27" customHeight="1" x14ac:dyDescent="0.2">
      <c r="B99" s="132">
        <v>93</v>
      </c>
      <c r="C99" s="133" t="str">
        <f>RESPUESTAS!BE99</f>
        <v>Por viaje</v>
      </c>
      <c r="D99" s="134"/>
    </row>
    <row r="100" spans="2:4" s="131" customFormat="1" ht="27" customHeight="1" x14ac:dyDescent="0.2">
      <c r="B100" s="132">
        <v>94</v>
      </c>
      <c r="C100" s="133" t="str">
        <f>RESPUESTAS!BE100</f>
        <v>Remuneración</v>
      </c>
      <c r="D100" s="134"/>
    </row>
    <row r="101" spans="2:4" s="131" customFormat="1" ht="27" customHeight="1" x14ac:dyDescent="0.2">
      <c r="B101" s="132">
        <v>95</v>
      </c>
      <c r="C101" s="133" t="str">
        <f>RESPUESTAS!BE101</f>
        <v xml:space="preserve">Económico </v>
      </c>
      <c r="D101" s="134"/>
    </row>
    <row r="102" spans="2:4" s="131" customFormat="1" ht="27" customHeight="1" x14ac:dyDescent="0.2">
      <c r="B102" s="132">
        <v>96</v>
      </c>
      <c r="C102" s="133" t="str">
        <f>RESPUESTAS!BE102</f>
        <v>Por el bajo sueldo.</v>
      </c>
      <c r="D102" s="134"/>
    </row>
    <row r="103" spans="2:4" s="131" customFormat="1" ht="27" customHeight="1" x14ac:dyDescent="0.2">
      <c r="B103" s="132">
        <v>97</v>
      </c>
      <c r="C103" s="133" t="str">
        <f>RESPUESTAS!BE103</f>
        <v xml:space="preserve">Otro trabajo con mejor remuneración </v>
      </c>
      <c r="D103" s="134"/>
    </row>
    <row r="104" spans="2:4" s="131" customFormat="1" ht="27" customHeight="1" x14ac:dyDescent="0.2">
      <c r="B104" s="132">
        <v>98</v>
      </c>
      <c r="C104" s="133" t="str">
        <f>RESPUESTAS!BE104</f>
        <v>Mejor pago en otro trabajo</v>
      </c>
      <c r="D104" s="134"/>
    </row>
    <row r="105" spans="2:4" s="131" customFormat="1" ht="27" customHeight="1" x14ac:dyDescent="0.2">
      <c r="B105" s="132">
        <v>99</v>
      </c>
      <c r="C105" s="133" t="str">
        <f>RESPUESTAS!BE105</f>
        <v>EL sueldo</v>
      </c>
      <c r="D105" s="134"/>
    </row>
    <row r="106" spans="2:4" s="131" customFormat="1" ht="27" customHeight="1" x14ac:dyDescent="0.2">
      <c r="B106" s="132">
        <v>100</v>
      </c>
      <c r="C106" s="133" t="str">
        <f>RESPUESTAS!BE106</f>
        <v>POR REMUNERACION</v>
      </c>
      <c r="D106" s="134"/>
    </row>
    <row r="107" spans="2:4" s="131" customFormat="1" ht="27" customHeight="1" x14ac:dyDescent="0.2">
      <c r="B107" s="132">
        <v>101</v>
      </c>
      <c r="C107" s="133" t="str">
        <f>RESPUESTAS!BE107</f>
        <v>familiar, enfermedad</v>
      </c>
      <c r="D107" s="134"/>
    </row>
    <row r="108" spans="2:4" s="131" customFormat="1" ht="27" customHeight="1" x14ac:dyDescent="0.2">
      <c r="B108" s="132">
        <v>102</v>
      </c>
      <c r="C108" s="133" t="str">
        <f>RESPUESTAS!BE108</f>
        <v>PERSONALES</v>
      </c>
      <c r="D108" s="134"/>
    </row>
    <row r="109" spans="2:4" s="131" customFormat="1" ht="27" customHeight="1" x14ac:dyDescent="0.2">
      <c r="B109" s="132">
        <v>103</v>
      </c>
      <c r="C109" s="133" t="str">
        <f>RESPUESTAS!BE109</f>
        <v>Crecimiento Profesional</v>
      </c>
      <c r="D109" s="134"/>
    </row>
    <row r="110" spans="2:4" s="131" customFormat="1" ht="27" customHeight="1" x14ac:dyDescent="0.2">
      <c r="B110" s="132">
        <v>104</v>
      </c>
      <c r="C110" s="133" t="str">
        <f>RESPUESTAS!BE110</f>
        <v>POR BAJA REMUNERACION</v>
      </c>
      <c r="D110" s="134"/>
    </row>
    <row r="111" spans="2:4" s="131" customFormat="1" ht="27" customHeight="1" x14ac:dyDescent="0.2">
      <c r="B111" s="132">
        <v>105</v>
      </c>
      <c r="C111" s="133" t="str">
        <f>RESPUESTAS!BE111</f>
        <v xml:space="preserve">Oferta laboral </v>
      </c>
      <c r="D111" s="134"/>
    </row>
    <row r="112" spans="2:4" s="131" customFormat="1" ht="27" customHeight="1" x14ac:dyDescent="0.2">
      <c r="B112" s="132">
        <v>106</v>
      </c>
      <c r="C112" s="133" t="str">
        <f>RESPUESTAS!BE112</f>
        <v>Me gusta mi trabajo, pero el sueldo no me gusta  ya que no me alcanza</v>
      </c>
      <c r="D112" s="134"/>
    </row>
    <row r="113" spans="2:4" s="131" customFormat="1" ht="27" customHeight="1" x14ac:dyDescent="0.2">
      <c r="B113" s="132">
        <v>107</v>
      </c>
      <c r="C113" s="133" t="str">
        <f>RESPUESTAS!BE113</f>
        <v>----</v>
      </c>
      <c r="D113" s="134"/>
    </row>
    <row r="114" spans="2:4" s="131" customFormat="1" ht="27" customHeight="1" x14ac:dyDescent="0.2">
      <c r="B114" s="132">
        <v>108</v>
      </c>
      <c r="C114" s="133" t="str">
        <f>RESPUESTAS!BE114</f>
        <v>Lo rutinario y no pagan horas extras.</v>
      </c>
      <c r="D114" s="134"/>
    </row>
    <row r="115" spans="2:4" s="131" customFormat="1" ht="27" customHeight="1" x14ac:dyDescent="0.2">
      <c r="B115" s="132">
        <v>109</v>
      </c>
      <c r="C115" s="133" t="str">
        <f>RESPUESTAS!BE115</f>
        <v xml:space="preserve">no hay equidad y no ven el trabajo de le brindamos a la empresa </v>
      </c>
      <c r="D115" s="134"/>
    </row>
    <row r="116" spans="2:4" s="131" customFormat="1" ht="27" customHeight="1" x14ac:dyDescent="0.2">
      <c r="B116" s="132">
        <v>110</v>
      </c>
      <c r="C116" s="133" t="str">
        <f>RESPUESTAS!BE116</f>
        <v>Que existe otra propuesta laboral mejor remunerada.</v>
      </c>
      <c r="D116" s="134"/>
    </row>
    <row r="117" spans="2:4" s="131" customFormat="1" ht="27" customHeight="1" x14ac:dyDescent="0.2">
      <c r="B117" s="132">
        <v>111</v>
      </c>
      <c r="C117" s="133" t="str">
        <f>RESPUESTAS!BE117</f>
        <v>Clima laboral ya que nuestro coordinador debe estar debidamente capacitado y acreditado en SUNAT para que pueda dar un soporte mas claro en las operaciones.</v>
      </c>
      <c r="D117" s="134"/>
    </row>
    <row r="118" spans="2:4" s="131" customFormat="1" ht="27" customHeight="1" x14ac:dyDescent="0.2">
      <c r="B118" s="132">
        <v>112</v>
      </c>
      <c r="C118" s="133" t="str">
        <f>RESPUESTAS!BE118</f>
        <v xml:space="preserve">UNA MEJOR PROPUESTA LABORAL </v>
      </c>
      <c r="D118" s="134"/>
    </row>
    <row r="119" spans="2:4" s="131" customFormat="1" ht="27" customHeight="1" x14ac:dyDescent="0.2">
      <c r="B119" s="132">
        <v>113</v>
      </c>
      <c r="C119" s="133" t="str">
        <f>RESPUESTAS!BE119</f>
        <v xml:space="preserve">motivo por propuesta mejor en el sueldo </v>
      </c>
      <c r="D119" s="134"/>
    </row>
    <row r="120" spans="2:4" s="131" customFormat="1" ht="27" customHeight="1" x14ac:dyDescent="0.2">
      <c r="B120" s="132">
        <v>114</v>
      </c>
      <c r="C120" s="133" t="str">
        <f>RESPUESTAS!BE120</f>
        <v>Salario</v>
      </c>
      <c r="D120" s="134"/>
    </row>
    <row r="121" spans="2:4" s="131" customFormat="1" ht="27" customHeight="1" x14ac:dyDescent="0.2">
      <c r="B121" s="132">
        <v>115</v>
      </c>
      <c r="C121" s="133" t="str">
        <f>RESPUESTAS!BE121</f>
        <v>Porque el gerente de finanzas no es equitativo con todas las Áreas. Tiene solo a finanzas como favorito y no al resto. Además, la carga laboral aumento y no es retribuido en el sueldo mientras otras personas sin llevar años en la empresa les aumentan rápidamente. Con respecto a mi jefe área no siento que sea líder porque en los momentos cuando mas se necesita por falta de manos nunca nos apoye para poder avanzar.</v>
      </c>
      <c r="D121" s="134"/>
    </row>
    <row r="122" spans="2:4" s="131" customFormat="1" ht="27" customHeight="1" x14ac:dyDescent="0.2">
      <c r="B122" s="132">
        <v>116</v>
      </c>
      <c r="C122" s="133" t="str">
        <f>RESPUESTAS!BE122</f>
        <v>Crecimiento profesional y remuneración (aumento salarial).</v>
      </c>
      <c r="D122" s="134"/>
    </row>
    <row r="123" spans="2:4" s="131" customFormat="1" ht="27" customHeight="1" x14ac:dyDescent="0.2">
      <c r="B123" s="132">
        <v>117</v>
      </c>
      <c r="C123" s="133" t="str">
        <f>RESPUESTAS!BE123</f>
        <v>MEJOR PROPUESTA LABORAL</v>
      </c>
      <c r="D123" s="134"/>
    </row>
    <row r="124" spans="2:4" s="131" customFormat="1" ht="27" customHeight="1" x14ac:dyDescent="0.2">
      <c r="B124" s="132">
        <v>118</v>
      </c>
      <c r="C124" s="133" t="str">
        <f>RESPUESTAS!BE124</f>
        <v>INCENTIVOS DE MANERA EQUITATIVA - REMUNERACION</v>
      </c>
      <c r="D124" s="134"/>
    </row>
    <row r="125" spans="2:4" s="131" customFormat="1" ht="27" customHeight="1" x14ac:dyDescent="0.2">
      <c r="B125" s="132">
        <v>119</v>
      </c>
      <c r="C125" s="133" t="str">
        <f>RESPUESTAS!BE125</f>
        <v xml:space="preserve">Por oferta laboral de remuneración </v>
      </c>
      <c r="D125" s="134"/>
    </row>
    <row r="126" spans="2:4" s="131" customFormat="1" ht="27" customHeight="1" x14ac:dyDescent="0.2">
      <c r="B126" s="132">
        <v>120</v>
      </c>
      <c r="C126" s="133" t="str">
        <f>RESPUESTAS!BE126</f>
        <v xml:space="preserve">Remuneración </v>
      </c>
      <c r="D126" s="134"/>
    </row>
    <row r="127" spans="2:4" s="131" customFormat="1" ht="27" customHeight="1" x14ac:dyDescent="0.2">
      <c r="B127" s="132">
        <v>121</v>
      </c>
      <c r="C127" s="133" t="str">
        <f>RESPUESTAS!BE127</f>
        <v>El no considerar todo el tiempo y esfuerzo dedicado a la empresa</v>
      </c>
      <c r="D127" s="134"/>
    </row>
    <row r="128" spans="2:4" s="131" customFormat="1" ht="27" customHeight="1" x14ac:dyDescent="0.2">
      <c r="B128" s="132">
        <v>122</v>
      </c>
      <c r="C128" s="133" t="str">
        <f>RESPUESTAS!BE128</f>
        <v>MEJORAS SALARIALES</v>
      </c>
      <c r="D128" s="134"/>
    </row>
    <row r="129" spans="2:4" s="131" customFormat="1" ht="27" customHeight="1" x14ac:dyDescent="0.2">
      <c r="B129" s="132">
        <v>123</v>
      </c>
      <c r="C129" s="133" t="str">
        <f>RESPUESTAS!BE129</f>
        <v xml:space="preserve">crecimiento profesional </v>
      </c>
      <c r="D129" s="134"/>
    </row>
    <row r="130" spans="2:4" s="131" customFormat="1" ht="27" customHeight="1" x14ac:dyDescent="0.2">
      <c r="B130" s="132">
        <v>124</v>
      </c>
      <c r="C130" s="133" t="str">
        <f>RESPUESTAS!BE130</f>
        <v xml:space="preserve">CRECER DE MANERA PROFESIONAL Y REMUNERACION </v>
      </c>
      <c r="D130" s="134"/>
    </row>
    <row r="131" spans="2:4" s="131" customFormat="1" ht="27" customHeight="1" x14ac:dyDescent="0.2">
      <c r="B131" s="132">
        <v>125</v>
      </c>
      <c r="C131" s="133" t="str">
        <f>RESPUESTAS!BE131</f>
        <v xml:space="preserve">Estrés laboral, baja remuneración, </v>
      </c>
      <c r="D131" s="134"/>
    </row>
    <row r="132" spans="2:4" s="131" customFormat="1" ht="27" customHeight="1" x14ac:dyDescent="0.2">
      <c r="B132" s="132">
        <v>126</v>
      </c>
      <c r="C132" s="133" t="str">
        <f>RESPUESTAS!BE132</f>
        <v xml:space="preserve">Temas personales </v>
      </c>
      <c r="D132" s="134"/>
    </row>
    <row r="133" spans="2:4" s="131" customFormat="1" ht="27" customHeight="1" x14ac:dyDescent="0.2">
      <c r="B133" s="132">
        <v>127</v>
      </c>
      <c r="C133" s="133" t="str">
        <f>RESPUESTAS!BE133</f>
        <v>Sueldo</v>
      </c>
      <c r="D133" s="134"/>
    </row>
    <row r="134" spans="2:4" s="131" customFormat="1" ht="27" customHeight="1" x14ac:dyDescent="0.2">
      <c r="B134" s="132">
        <v>128</v>
      </c>
      <c r="C134" s="133" t="str">
        <f>RESPUESTAS!BE134</f>
        <v>El reconocimiento puede ser y hacia todo el equipo</v>
      </c>
      <c r="D134" s="134"/>
    </row>
    <row r="135" spans="2:4" s="131" customFormat="1" ht="27" customHeight="1" x14ac:dyDescent="0.2">
      <c r="B135" s="132">
        <v>129</v>
      </c>
      <c r="C135" s="133" t="str">
        <f>RESPUESTAS!BE135</f>
        <v>Mayor oportunidad de crecimiento y mejora salarial</v>
      </c>
      <c r="D135" s="134"/>
    </row>
    <row r="136" spans="2:4" s="131" customFormat="1" ht="27" customHeight="1" x14ac:dyDescent="0.2">
      <c r="B136" s="132">
        <v>130</v>
      </c>
      <c r="C136" s="133" t="str">
        <f>RESPUESTAS!BE136</f>
        <v xml:space="preserve">Personales </v>
      </c>
      <c r="D136" s="134"/>
    </row>
    <row r="137" spans="2:4" s="131" customFormat="1" ht="27" hidden="1" customHeight="1" x14ac:dyDescent="0.2">
      <c r="B137" s="132">
        <v>161</v>
      </c>
      <c r="C137" s="135"/>
      <c r="D137" s="134"/>
    </row>
    <row r="138" spans="2:4" s="131" customFormat="1" ht="27" hidden="1" customHeight="1" x14ac:dyDescent="0.2">
      <c r="B138" s="132">
        <v>162</v>
      </c>
      <c r="C138" s="135"/>
      <c r="D138" s="134"/>
    </row>
    <row r="139" spans="2:4" s="131" customFormat="1" ht="27" hidden="1" customHeight="1" x14ac:dyDescent="0.2">
      <c r="B139" s="132">
        <v>163</v>
      </c>
      <c r="C139" s="135"/>
      <c r="D139" s="134"/>
    </row>
    <row r="140" spans="2:4" s="131" customFormat="1" ht="27" hidden="1" customHeight="1" x14ac:dyDescent="0.2">
      <c r="B140" s="132">
        <v>164</v>
      </c>
      <c r="C140" s="135"/>
      <c r="D140" s="134"/>
    </row>
    <row r="141" spans="2:4" s="131" customFormat="1" ht="27" hidden="1" customHeight="1" x14ac:dyDescent="0.2">
      <c r="B141" s="132">
        <v>165</v>
      </c>
      <c r="C141" s="135"/>
      <c r="D141" s="134"/>
    </row>
    <row r="142" spans="2:4" s="131" customFormat="1" ht="27" hidden="1" customHeight="1" x14ac:dyDescent="0.2">
      <c r="B142" s="132">
        <v>166</v>
      </c>
      <c r="C142" s="135"/>
      <c r="D142" s="134"/>
    </row>
    <row r="143" spans="2:4" s="131" customFormat="1" ht="27" hidden="1" customHeight="1" x14ac:dyDescent="0.2">
      <c r="B143" s="132">
        <v>167</v>
      </c>
      <c r="C143" s="135"/>
      <c r="D143" s="134"/>
    </row>
    <row r="144" spans="2:4" s="131" customFormat="1" ht="27" hidden="1" customHeight="1" x14ac:dyDescent="0.2">
      <c r="B144" s="132">
        <v>168</v>
      </c>
      <c r="C144" s="135"/>
      <c r="D144" s="134"/>
    </row>
    <row r="145" spans="2:4" s="131" customFormat="1" ht="27" hidden="1" customHeight="1" x14ac:dyDescent="0.2">
      <c r="B145" s="132">
        <v>169</v>
      </c>
      <c r="C145" s="135"/>
      <c r="D145" s="134"/>
    </row>
    <row r="146" spans="2:4" s="131" customFormat="1" ht="27" hidden="1" customHeight="1" x14ac:dyDescent="0.2">
      <c r="B146" s="132">
        <v>170</v>
      </c>
      <c r="C146" s="135"/>
      <c r="D146" s="134"/>
    </row>
    <row r="147" spans="2:4" s="131" customFormat="1" ht="27" hidden="1" customHeight="1" x14ac:dyDescent="0.2">
      <c r="B147" s="132">
        <v>171</v>
      </c>
      <c r="C147" s="135"/>
      <c r="D147" s="134"/>
    </row>
    <row r="148" spans="2:4" s="131" customFormat="1" ht="27" hidden="1" customHeight="1" x14ac:dyDescent="0.2">
      <c r="B148" s="132">
        <v>172</v>
      </c>
      <c r="C148" s="135"/>
      <c r="D148" s="134"/>
    </row>
    <row r="149" spans="2:4" s="131" customFormat="1" ht="27" hidden="1" customHeight="1" x14ac:dyDescent="0.2">
      <c r="B149" s="132">
        <v>173</v>
      </c>
      <c r="C149" s="135"/>
      <c r="D149" s="134"/>
    </row>
    <row r="150" spans="2:4" s="131" customFormat="1" ht="27" hidden="1" customHeight="1" x14ac:dyDescent="0.2">
      <c r="B150" s="132">
        <v>174</v>
      </c>
      <c r="C150" s="135"/>
      <c r="D150" s="134"/>
    </row>
    <row r="151" spans="2:4" s="131" customFormat="1" ht="27" hidden="1" customHeight="1" x14ac:dyDescent="0.2">
      <c r="B151" s="132">
        <v>175</v>
      </c>
      <c r="C151" s="135"/>
      <c r="D151" s="134"/>
    </row>
    <row r="152" spans="2:4" s="131" customFormat="1" ht="27" hidden="1" customHeight="1" x14ac:dyDescent="0.2">
      <c r="B152" s="132">
        <v>176</v>
      </c>
      <c r="C152" s="135"/>
      <c r="D152" s="134"/>
    </row>
    <row r="153" spans="2:4" s="131" customFormat="1" ht="27" hidden="1" customHeight="1" x14ac:dyDescent="0.2">
      <c r="B153" s="132">
        <v>177</v>
      </c>
      <c r="C153" s="135"/>
      <c r="D153" s="134"/>
    </row>
    <row r="154" spans="2:4" s="131" customFormat="1" ht="27" hidden="1" customHeight="1" x14ac:dyDescent="0.2">
      <c r="B154" s="132">
        <v>178</v>
      </c>
      <c r="C154" s="135"/>
      <c r="D154" s="134"/>
    </row>
    <row r="155" spans="2:4" s="131" customFormat="1" ht="27" hidden="1" customHeight="1" x14ac:dyDescent="0.2">
      <c r="B155" s="132">
        <v>179</v>
      </c>
      <c r="C155" s="135"/>
      <c r="D155" s="134"/>
    </row>
    <row r="156" spans="2:4" s="131" customFormat="1" ht="27" hidden="1" customHeight="1" x14ac:dyDescent="0.2">
      <c r="B156" s="132">
        <v>180</v>
      </c>
      <c r="C156" s="135"/>
      <c r="D156" s="134"/>
    </row>
    <row r="157" spans="2:4" s="131" customFormat="1" ht="27" hidden="1" customHeight="1" x14ac:dyDescent="0.2">
      <c r="B157" s="132">
        <v>181</v>
      </c>
      <c r="C157" s="135"/>
      <c r="D157" s="134"/>
    </row>
    <row r="158" spans="2:4" s="131" customFormat="1" ht="27" hidden="1" customHeight="1" x14ac:dyDescent="0.2">
      <c r="B158" s="132">
        <v>182</v>
      </c>
      <c r="C158" s="135"/>
      <c r="D158" s="134"/>
    </row>
    <row r="159" spans="2:4" s="131" customFormat="1" ht="27" hidden="1" customHeight="1" x14ac:dyDescent="0.2">
      <c r="B159" s="132">
        <v>183</v>
      </c>
      <c r="C159" s="135"/>
      <c r="D159" s="134"/>
    </row>
    <row r="160" spans="2:4" s="131" customFormat="1" ht="27" hidden="1" customHeight="1" x14ac:dyDescent="0.2">
      <c r="B160" s="132">
        <v>184</v>
      </c>
      <c r="C160" s="135"/>
      <c r="D160" s="134"/>
    </row>
    <row r="161" spans="2:4" s="131" customFormat="1" ht="27" hidden="1" customHeight="1" x14ac:dyDescent="0.2">
      <c r="B161" s="132">
        <v>185</v>
      </c>
      <c r="C161" s="135"/>
      <c r="D161" s="134"/>
    </row>
    <row r="162" spans="2:4" s="131" customFormat="1" ht="27" hidden="1" customHeight="1" x14ac:dyDescent="0.2">
      <c r="B162" s="132">
        <v>186</v>
      </c>
      <c r="C162" s="135"/>
      <c r="D162" s="134"/>
    </row>
    <row r="163" spans="2:4" s="131" customFormat="1" ht="27" hidden="1" customHeight="1" x14ac:dyDescent="0.2">
      <c r="B163" s="132">
        <v>187</v>
      </c>
      <c r="C163" s="135"/>
      <c r="D163" s="134"/>
    </row>
    <row r="164" spans="2:4" s="131" customFormat="1" ht="27" hidden="1" customHeight="1" x14ac:dyDescent="0.2">
      <c r="B164" s="132">
        <v>188</v>
      </c>
      <c r="C164" s="135"/>
      <c r="D164" s="134"/>
    </row>
    <row r="165" spans="2:4" s="131" customFormat="1" ht="27" hidden="1" customHeight="1" x14ac:dyDescent="0.2">
      <c r="B165" s="132">
        <v>189</v>
      </c>
      <c r="C165" s="135"/>
      <c r="D165" s="134"/>
    </row>
    <row r="166" spans="2:4" s="131" customFormat="1" ht="27" hidden="1" customHeight="1" x14ac:dyDescent="0.2">
      <c r="B166" s="132">
        <v>190</v>
      </c>
      <c r="C166" s="135"/>
      <c r="D166" s="134"/>
    </row>
    <row r="167" spans="2:4" s="131" customFormat="1" ht="27" hidden="1" customHeight="1" x14ac:dyDescent="0.2">
      <c r="B167" s="132">
        <v>191</v>
      </c>
      <c r="C167" s="135"/>
      <c r="D167" s="134"/>
    </row>
    <row r="168" spans="2:4" s="131" customFormat="1" ht="27" hidden="1" customHeight="1" x14ac:dyDescent="0.2">
      <c r="B168" s="132">
        <v>192</v>
      </c>
      <c r="C168" s="135"/>
      <c r="D168" s="134"/>
    </row>
    <row r="169" spans="2:4" s="131" customFormat="1" ht="27" hidden="1" customHeight="1" x14ac:dyDescent="0.2">
      <c r="B169" s="132">
        <v>193</v>
      </c>
      <c r="C169" s="135"/>
      <c r="D169" s="134"/>
    </row>
    <row r="170" spans="2:4" s="131" customFormat="1" ht="27" hidden="1" customHeight="1" x14ac:dyDescent="0.2">
      <c r="B170" s="132">
        <v>194</v>
      </c>
      <c r="C170" s="135"/>
      <c r="D170" s="134"/>
    </row>
    <row r="171" spans="2:4" s="131" customFormat="1" ht="27" hidden="1" customHeight="1" x14ac:dyDescent="0.2">
      <c r="B171" s="132">
        <v>195</v>
      </c>
      <c r="C171" s="135"/>
      <c r="D171" s="134"/>
    </row>
    <row r="172" spans="2:4" s="131" customFormat="1" ht="27" hidden="1" customHeight="1" x14ac:dyDescent="0.2">
      <c r="B172" s="132">
        <v>196</v>
      </c>
      <c r="C172" s="135"/>
      <c r="D172" s="134"/>
    </row>
    <row r="173" spans="2:4" s="131" customFormat="1" ht="27" hidden="1" customHeight="1" x14ac:dyDescent="0.2">
      <c r="B173" s="132">
        <v>197</v>
      </c>
      <c r="C173" s="135"/>
      <c r="D173" s="134"/>
    </row>
    <row r="174" spans="2:4" s="131" customFormat="1" ht="27" hidden="1" customHeight="1" x14ac:dyDescent="0.2">
      <c r="B174" s="132">
        <v>198</v>
      </c>
      <c r="C174" s="135"/>
      <c r="D174" s="134"/>
    </row>
    <row r="175" spans="2:4" s="131" customFormat="1" ht="27" hidden="1" customHeight="1" x14ac:dyDescent="0.2">
      <c r="B175" s="132">
        <v>199</v>
      </c>
      <c r="C175" s="135"/>
      <c r="D175" s="134"/>
    </row>
    <row r="176" spans="2:4" s="131" customFormat="1" ht="27" hidden="1" customHeight="1" x14ac:dyDescent="0.2">
      <c r="B176" s="132">
        <v>200</v>
      </c>
      <c r="C176" s="135"/>
      <c r="D176" s="134"/>
    </row>
    <row r="177" spans="2:4" s="131" customFormat="1" ht="27" hidden="1" customHeight="1" x14ac:dyDescent="0.2">
      <c r="B177" s="132">
        <v>201</v>
      </c>
      <c r="C177" s="135"/>
      <c r="D177" s="134"/>
    </row>
    <row r="178" spans="2:4" s="131" customFormat="1" ht="27" hidden="1" customHeight="1" x14ac:dyDescent="0.2">
      <c r="B178" s="132">
        <v>202</v>
      </c>
      <c r="C178" s="135"/>
      <c r="D178" s="134"/>
    </row>
    <row r="179" spans="2:4" s="131" customFormat="1" ht="27" hidden="1" customHeight="1" x14ac:dyDescent="0.2">
      <c r="B179" s="132">
        <v>203</v>
      </c>
      <c r="C179" s="135"/>
      <c r="D179" s="134"/>
    </row>
    <row r="180" spans="2:4" s="131" customFormat="1" ht="27" hidden="1" customHeight="1" x14ac:dyDescent="0.2">
      <c r="B180" s="132">
        <v>204</v>
      </c>
      <c r="C180" s="135"/>
      <c r="D180" s="134"/>
    </row>
    <row r="181" spans="2:4" s="131" customFormat="1" ht="27" hidden="1" customHeight="1" x14ac:dyDescent="0.2">
      <c r="B181" s="132">
        <v>205</v>
      </c>
      <c r="C181" s="135"/>
      <c r="D181" s="134"/>
    </row>
    <row r="182" spans="2:4" s="131" customFormat="1" ht="27" hidden="1" customHeight="1" x14ac:dyDescent="0.2">
      <c r="B182" s="132">
        <v>206</v>
      </c>
      <c r="C182" s="135"/>
      <c r="D182" s="134"/>
    </row>
    <row r="183" spans="2:4" s="131" customFormat="1" ht="27" hidden="1" customHeight="1" x14ac:dyDescent="0.2">
      <c r="B183" s="132">
        <v>207</v>
      </c>
      <c r="C183" s="135"/>
      <c r="D183" s="134"/>
    </row>
    <row r="184" spans="2:4" s="131" customFormat="1" ht="27" hidden="1" customHeight="1" x14ac:dyDescent="0.2">
      <c r="B184" s="132">
        <v>208</v>
      </c>
      <c r="C184" s="135"/>
      <c r="D184" s="134"/>
    </row>
    <row r="185" spans="2:4" s="131" customFormat="1" ht="27" hidden="1" customHeight="1" x14ac:dyDescent="0.2">
      <c r="B185" s="132">
        <v>209</v>
      </c>
      <c r="C185" s="135"/>
      <c r="D185" s="134"/>
    </row>
    <row r="186" spans="2:4" s="131" customFormat="1" ht="27" hidden="1" customHeight="1" x14ac:dyDescent="0.2">
      <c r="B186" s="132">
        <v>210</v>
      </c>
      <c r="C186" s="135"/>
      <c r="D186" s="134"/>
    </row>
    <row r="187" spans="2:4" s="131" customFormat="1" ht="27" hidden="1" customHeight="1" x14ac:dyDescent="0.2">
      <c r="B187" s="132">
        <v>211</v>
      </c>
      <c r="C187" s="135"/>
      <c r="D187" s="134"/>
    </row>
    <row r="188" spans="2:4" s="131" customFormat="1" ht="27" hidden="1" customHeight="1" x14ac:dyDescent="0.2">
      <c r="B188" s="132">
        <v>212</v>
      </c>
      <c r="C188" s="135"/>
      <c r="D188" s="134"/>
    </row>
    <row r="189" spans="2:4" s="131" customFormat="1" ht="27" hidden="1" customHeight="1" x14ac:dyDescent="0.2">
      <c r="B189" s="132">
        <v>213</v>
      </c>
      <c r="C189" s="135"/>
      <c r="D189" s="134"/>
    </row>
    <row r="190" spans="2:4" s="131" customFormat="1" ht="27" hidden="1" customHeight="1" x14ac:dyDescent="0.2">
      <c r="B190" s="132">
        <v>214</v>
      </c>
      <c r="C190" s="135"/>
      <c r="D190" s="134"/>
    </row>
    <row r="191" spans="2:4" s="131" customFormat="1" ht="27" hidden="1" customHeight="1" x14ac:dyDescent="0.2">
      <c r="B191" s="132">
        <v>215</v>
      </c>
      <c r="C191" s="135"/>
      <c r="D191" s="134"/>
    </row>
    <row r="192" spans="2:4" s="131" customFormat="1" ht="27" hidden="1" customHeight="1" x14ac:dyDescent="0.2">
      <c r="B192" s="132">
        <v>216</v>
      </c>
      <c r="C192" s="135"/>
      <c r="D192" s="134"/>
    </row>
    <row r="193" spans="2:4" s="131" customFormat="1" ht="27" hidden="1" customHeight="1" x14ac:dyDescent="0.2">
      <c r="B193" s="132">
        <v>217</v>
      </c>
      <c r="C193" s="135"/>
      <c r="D193" s="134"/>
    </row>
    <row r="194" spans="2:4" s="131" customFormat="1" ht="27" hidden="1" customHeight="1" x14ac:dyDescent="0.2">
      <c r="B194" s="132">
        <v>218</v>
      </c>
      <c r="C194" s="135"/>
      <c r="D194" s="134"/>
    </row>
    <row r="195" spans="2:4" s="131" customFormat="1" ht="27" hidden="1" customHeight="1" x14ac:dyDescent="0.2">
      <c r="B195" s="132">
        <v>219</v>
      </c>
      <c r="C195" s="135"/>
      <c r="D195" s="134"/>
    </row>
    <row r="196" spans="2:4" s="131" customFormat="1" ht="27" hidden="1" customHeight="1" x14ac:dyDescent="0.2">
      <c r="B196" s="132">
        <v>220</v>
      </c>
      <c r="C196" s="135"/>
      <c r="D196" s="134"/>
    </row>
    <row r="197" spans="2:4" s="131" customFormat="1" ht="27" hidden="1" customHeight="1" x14ac:dyDescent="0.2">
      <c r="B197" s="132">
        <v>221</v>
      </c>
      <c r="C197" s="135"/>
      <c r="D197" s="134"/>
    </row>
    <row r="198" spans="2:4" s="131" customFormat="1" ht="27" hidden="1" customHeight="1" x14ac:dyDescent="0.2">
      <c r="B198" s="132">
        <v>222</v>
      </c>
      <c r="C198" s="135"/>
      <c r="D198" s="134"/>
    </row>
    <row r="199" spans="2:4" s="131" customFormat="1" ht="27" hidden="1" customHeight="1" x14ac:dyDescent="0.2">
      <c r="B199" s="132">
        <v>223</v>
      </c>
      <c r="C199" s="135"/>
      <c r="D199" s="134"/>
    </row>
    <row r="200" spans="2:4" s="131" customFormat="1" ht="27" hidden="1" customHeight="1" x14ac:dyDescent="0.2">
      <c r="B200" s="132">
        <v>224</v>
      </c>
      <c r="C200" s="135"/>
      <c r="D200" s="134"/>
    </row>
    <row r="201" spans="2:4" s="131" customFormat="1" ht="27" hidden="1" customHeight="1" x14ac:dyDescent="0.2">
      <c r="B201" s="132">
        <v>225</v>
      </c>
      <c r="C201" s="135"/>
      <c r="D201" s="134"/>
    </row>
    <row r="202" spans="2:4" s="131" customFormat="1" ht="27" hidden="1" customHeight="1" x14ac:dyDescent="0.2">
      <c r="B202" s="132">
        <v>226</v>
      </c>
      <c r="C202" s="135"/>
      <c r="D202" s="134"/>
    </row>
    <row r="203" spans="2:4" s="131" customFormat="1" ht="27" hidden="1" customHeight="1" x14ac:dyDescent="0.2">
      <c r="B203" s="132">
        <v>227</v>
      </c>
      <c r="C203" s="135"/>
      <c r="D203" s="134"/>
    </row>
    <row r="204" spans="2:4" s="131" customFormat="1" ht="27" hidden="1" customHeight="1" x14ac:dyDescent="0.2">
      <c r="B204" s="132">
        <v>228</v>
      </c>
      <c r="C204" s="135"/>
      <c r="D204" s="134"/>
    </row>
    <row r="205" spans="2:4" s="131" customFormat="1" ht="27" hidden="1" customHeight="1" x14ac:dyDescent="0.2">
      <c r="B205" s="132">
        <v>229</v>
      </c>
      <c r="C205" s="135"/>
      <c r="D205" s="134"/>
    </row>
    <row r="206" spans="2:4" s="131" customFormat="1" ht="27" hidden="1" customHeight="1" x14ac:dyDescent="0.2">
      <c r="B206" s="132">
        <v>230</v>
      </c>
      <c r="C206" s="135"/>
      <c r="D206" s="134"/>
    </row>
    <row r="207" spans="2:4" s="131" customFormat="1" ht="27" hidden="1" customHeight="1" x14ac:dyDescent="0.2">
      <c r="B207" s="132">
        <v>231</v>
      </c>
      <c r="C207" s="135"/>
      <c r="D207" s="134"/>
    </row>
    <row r="208" spans="2:4" s="131" customFormat="1" ht="27" hidden="1" customHeight="1" x14ac:dyDescent="0.2">
      <c r="B208" s="132">
        <v>232</v>
      </c>
      <c r="C208" s="135"/>
      <c r="D208" s="134"/>
    </row>
    <row r="209" spans="2:4" s="131" customFormat="1" ht="27" hidden="1" customHeight="1" x14ac:dyDescent="0.2">
      <c r="B209" s="132">
        <v>233</v>
      </c>
      <c r="C209" s="135"/>
      <c r="D209" s="134"/>
    </row>
    <row r="210" spans="2:4" s="131" customFormat="1" ht="27" hidden="1" customHeight="1" x14ac:dyDescent="0.2">
      <c r="B210" s="132">
        <v>234</v>
      </c>
      <c r="C210" s="135"/>
      <c r="D210" s="134"/>
    </row>
    <row r="211" spans="2:4" s="131" customFormat="1" ht="27" hidden="1" customHeight="1" x14ac:dyDescent="0.2">
      <c r="B211" s="132">
        <v>235</v>
      </c>
      <c r="C211" s="135"/>
      <c r="D211" s="134"/>
    </row>
    <row r="212" spans="2:4" s="131" customFormat="1" ht="27" hidden="1" customHeight="1" x14ac:dyDescent="0.2">
      <c r="B212" s="132">
        <v>236</v>
      </c>
      <c r="C212" s="135"/>
      <c r="D212" s="134"/>
    </row>
    <row r="213" spans="2:4" s="131" customFormat="1" ht="27" hidden="1" customHeight="1" x14ac:dyDescent="0.2">
      <c r="B213" s="132">
        <v>237</v>
      </c>
      <c r="C213" s="135"/>
      <c r="D213" s="134"/>
    </row>
    <row r="214" spans="2:4" s="131" customFormat="1" ht="27" hidden="1" customHeight="1" x14ac:dyDescent="0.2">
      <c r="B214" s="132">
        <v>238</v>
      </c>
      <c r="C214" s="135"/>
      <c r="D214" s="134"/>
    </row>
    <row r="215" spans="2:4" s="131" customFormat="1" ht="27" hidden="1" customHeight="1" x14ac:dyDescent="0.2">
      <c r="B215" s="132">
        <v>239</v>
      </c>
      <c r="C215" s="135"/>
      <c r="D215" s="134"/>
    </row>
    <row r="216" spans="2:4" s="131" customFormat="1" ht="27" hidden="1" customHeight="1" x14ac:dyDescent="0.2">
      <c r="B216" s="132">
        <v>240</v>
      </c>
      <c r="C216" s="135"/>
      <c r="D216" s="134"/>
    </row>
    <row r="217" spans="2:4" s="131" customFormat="1" ht="27" hidden="1" customHeight="1" x14ac:dyDescent="0.2">
      <c r="B217" s="132">
        <v>241</v>
      </c>
      <c r="C217" s="135"/>
      <c r="D217" s="134"/>
    </row>
    <row r="218" spans="2:4" s="131" customFormat="1" ht="27" hidden="1" customHeight="1" x14ac:dyDescent="0.2">
      <c r="B218" s="132">
        <v>242</v>
      </c>
      <c r="C218" s="135"/>
      <c r="D218" s="134"/>
    </row>
    <row r="219" spans="2:4" s="131" customFormat="1" ht="27" hidden="1" customHeight="1" x14ac:dyDescent="0.2">
      <c r="B219" s="132">
        <v>243</v>
      </c>
      <c r="C219" s="135"/>
      <c r="D219" s="134"/>
    </row>
    <row r="220" spans="2:4" s="131" customFormat="1" ht="27" hidden="1" customHeight="1" x14ac:dyDescent="0.2">
      <c r="B220" s="132">
        <v>244</v>
      </c>
      <c r="C220" s="135"/>
      <c r="D220" s="134"/>
    </row>
    <row r="221" spans="2:4" s="131" customFormat="1" ht="27" hidden="1" customHeight="1" x14ac:dyDescent="0.2">
      <c r="B221" s="132">
        <v>245</v>
      </c>
      <c r="C221" s="135"/>
      <c r="D221" s="134"/>
    </row>
    <row r="222" spans="2:4" s="131" customFormat="1" ht="27" hidden="1" customHeight="1" x14ac:dyDescent="0.2">
      <c r="B222" s="132">
        <v>246</v>
      </c>
      <c r="C222" s="135"/>
      <c r="D222" s="134"/>
    </row>
    <row r="223" spans="2:4" s="131" customFormat="1" ht="27" hidden="1" customHeight="1" x14ac:dyDescent="0.2">
      <c r="B223" s="132">
        <v>247</v>
      </c>
      <c r="C223" s="135"/>
      <c r="D223" s="134"/>
    </row>
    <row r="224" spans="2:4" s="131" customFormat="1" ht="27" hidden="1" customHeight="1" x14ac:dyDescent="0.2">
      <c r="B224" s="132">
        <v>248</v>
      </c>
      <c r="C224" s="135"/>
      <c r="D224" s="134"/>
    </row>
    <row r="225" spans="2:4" s="131" customFormat="1" ht="27" hidden="1" customHeight="1" x14ac:dyDescent="0.2">
      <c r="B225" s="132">
        <v>249</v>
      </c>
      <c r="C225" s="135"/>
      <c r="D225" s="134"/>
    </row>
    <row r="226" spans="2:4" s="131" customFormat="1" ht="27" hidden="1" customHeight="1" x14ac:dyDescent="0.2">
      <c r="B226" s="132">
        <v>250</v>
      </c>
      <c r="C226" s="135"/>
      <c r="D226" s="134"/>
    </row>
    <row r="227" spans="2:4" s="131" customFormat="1" ht="27" hidden="1" customHeight="1" x14ac:dyDescent="0.2">
      <c r="B227" s="132">
        <v>251</v>
      </c>
      <c r="C227" s="135"/>
      <c r="D227" s="134"/>
    </row>
    <row r="228" spans="2:4" s="131" customFormat="1" ht="27" hidden="1" customHeight="1" x14ac:dyDescent="0.2">
      <c r="B228" s="132">
        <v>252</v>
      </c>
      <c r="C228" s="135"/>
      <c r="D228" s="134"/>
    </row>
    <row r="229" spans="2:4" s="131" customFormat="1" ht="27" hidden="1" customHeight="1" x14ac:dyDescent="0.2">
      <c r="B229" s="132">
        <v>253</v>
      </c>
      <c r="C229" s="135"/>
      <c r="D229" s="134"/>
    </row>
    <row r="230" spans="2:4" s="131" customFormat="1" ht="27" hidden="1" customHeight="1" x14ac:dyDescent="0.2">
      <c r="B230" s="132">
        <v>254</v>
      </c>
      <c r="C230" s="135"/>
      <c r="D230" s="134"/>
    </row>
    <row r="231" spans="2:4" s="131" customFormat="1" ht="27" hidden="1" customHeight="1" x14ac:dyDescent="0.2">
      <c r="B231" s="132">
        <v>255</v>
      </c>
      <c r="C231" s="135"/>
      <c r="D231" s="134"/>
    </row>
    <row r="232" spans="2:4" s="131" customFormat="1" ht="27" hidden="1" customHeight="1" x14ac:dyDescent="0.2">
      <c r="B232" s="132">
        <v>256</v>
      </c>
      <c r="C232" s="135"/>
      <c r="D232" s="134"/>
    </row>
    <row r="233" spans="2:4" s="131" customFormat="1" ht="27" hidden="1" customHeight="1" x14ac:dyDescent="0.2">
      <c r="B233" s="132">
        <v>257</v>
      </c>
      <c r="C233" s="135"/>
      <c r="D233" s="134"/>
    </row>
    <row r="234" spans="2:4" s="131" customFormat="1" ht="27" hidden="1" customHeight="1" x14ac:dyDescent="0.2">
      <c r="B234" s="132">
        <v>258</v>
      </c>
      <c r="C234" s="135"/>
      <c r="D234" s="134"/>
    </row>
    <row r="235" spans="2:4" s="131" customFormat="1" ht="27" hidden="1" customHeight="1" x14ac:dyDescent="0.2">
      <c r="B235" s="132">
        <v>259</v>
      </c>
      <c r="C235" s="135"/>
      <c r="D235" s="134"/>
    </row>
    <row r="236" spans="2:4" s="131" customFormat="1" ht="27" hidden="1" customHeight="1" x14ac:dyDescent="0.2">
      <c r="B236" s="132">
        <v>260</v>
      </c>
      <c r="C236" s="135"/>
      <c r="D236" s="134"/>
    </row>
    <row r="237" spans="2:4" s="131" customFormat="1" ht="27" hidden="1" customHeight="1" x14ac:dyDescent="0.2">
      <c r="B237" s="132">
        <v>261</v>
      </c>
      <c r="C237" s="135"/>
      <c r="D237" s="134"/>
    </row>
    <row r="238" spans="2:4" s="131" customFormat="1" ht="27" hidden="1" customHeight="1" x14ac:dyDescent="0.2">
      <c r="B238" s="132">
        <v>262</v>
      </c>
      <c r="C238" s="135"/>
      <c r="D238" s="134"/>
    </row>
    <row r="239" spans="2:4" s="131" customFormat="1" ht="27" hidden="1" customHeight="1" x14ac:dyDescent="0.2">
      <c r="B239" s="132">
        <v>263</v>
      </c>
      <c r="C239" s="135"/>
      <c r="D239" s="134"/>
    </row>
    <row r="240" spans="2:4" s="131" customFormat="1" ht="27" hidden="1" customHeight="1" x14ac:dyDescent="0.2">
      <c r="B240" s="132">
        <v>264</v>
      </c>
      <c r="C240" s="135"/>
      <c r="D240" s="134"/>
    </row>
    <row r="241" spans="2:4" s="131" customFormat="1" ht="27" hidden="1" customHeight="1" x14ac:dyDescent="0.2">
      <c r="B241" s="132">
        <v>265</v>
      </c>
      <c r="C241" s="135"/>
      <c r="D241" s="134"/>
    </row>
    <row r="242" spans="2:4" s="131" customFormat="1" ht="27" hidden="1" customHeight="1" x14ac:dyDescent="0.2">
      <c r="B242" s="132">
        <v>266</v>
      </c>
      <c r="C242" s="135"/>
      <c r="D242" s="134"/>
    </row>
    <row r="243" spans="2:4" s="131" customFormat="1" ht="27" hidden="1" customHeight="1" x14ac:dyDescent="0.2">
      <c r="B243" s="132">
        <v>267</v>
      </c>
      <c r="C243" s="135"/>
      <c r="D243" s="134"/>
    </row>
    <row r="244" spans="2:4" s="131" customFormat="1" ht="27" hidden="1" customHeight="1" x14ac:dyDescent="0.2">
      <c r="B244" s="132">
        <v>268</v>
      </c>
      <c r="C244" s="135"/>
      <c r="D244" s="134"/>
    </row>
    <row r="245" spans="2:4" s="131" customFormat="1" ht="27" hidden="1" customHeight="1" x14ac:dyDescent="0.2">
      <c r="B245" s="132">
        <v>269</v>
      </c>
      <c r="C245" s="135"/>
      <c r="D245" s="134"/>
    </row>
    <row r="246" spans="2:4" s="131" customFormat="1" ht="27" hidden="1" customHeight="1" x14ac:dyDescent="0.2">
      <c r="B246" s="132">
        <v>270</v>
      </c>
      <c r="C246" s="135"/>
      <c r="D246" s="134"/>
    </row>
    <row r="247" spans="2:4" s="131" customFormat="1" ht="27" hidden="1" customHeight="1" x14ac:dyDescent="0.2">
      <c r="B247" s="132">
        <v>271</v>
      </c>
      <c r="C247" s="135"/>
      <c r="D247" s="134"/>
    </row>
    <row r="248" spans="2:4" s="131" customFormat="1" ht="27" hidden="1" customHeight="1" x14ac:dyDescent="0.2">
      <c r="B248" s="132">
        <v>272</v>
      </c>
      <c r="C248" s="135"/>
      <c r="D248" s="134"/>
    </row>
    <row r="249" spans="2:4" s="131" customFormat="1" ht="27" hidden="1" customHeight="1" x14ac:dyDescent="0.2">
      <c r="B249" s="132">
        <v>273</v>
      </c>
      <c r="C249" s="135"/>
      <c r="D249" s="134"/>
    </row>
    <row r="250" spans="2:4" s="131" customFormat="1" ht="27" hidden="1" customHeight="1" x14ac:dyDescent="0.2">
      <c r="B250" s="132">
        <v>274</v>
      </c>
      <c r="C250" s="135"/>
      <c r="D250" s="134"/>
    </row>
    <row r="251" spans="2:4" s="131" customFormat="1" ht="27" hidden="1" customHeight="1" x14ac:dyDescent="0.2">
      <c r="B251" s="132">
        <v>275</v>
      </c>
      <c r="C251" s="135"/>
      <c r="D251" s="134"/>
    </row>
    <row r="252" spans="2:4" s="131" customFormat="1" ht="27" hidden="1" customHeight="1" x14ac:dyDescent="0.2">
      <c r="B252" s="132">
        <v>276</v>
      </c>
      <c r="C252" s="135"/>
      <c r="D252" s="134"/>
    </row>
    <row r="253" spans="2:4" s="131" customFormat="1" ht="27" hidden="1" customHeight="1" x14ac:dyDescent="0.2">
      <c r="B253" s="132">
        <v>277</v>
      </c>
      <c r="C253" s="135"/>
      <c r="D253" s="134"/>
    </row>
    <row r="254" spans="2:4" s="131" customFormat="1" ht="27" hidden="1" customHeight="1" x14ac:dyDescent="0.2">
      <c r="B254" s="132">
        <v>278</v>
      </c>
      <c r="C254" s="135"/>
      <c r="D254" s="134"/>
    </row>
    <row r="255" spans="2:4" s="131" customFormat="1" ht="27" hidden="1" customHeight="1" x14ac:dyDescent="0.2">
      <c r="B255" s="132">
        <v>279</v>
      </c>
      <c r="C255" s="135"/>
      <c r="D255" s="134"/>
    </row>
    <row r="256" spans="2:4" s="131" customFormat="1" ht="27" hidden="1" customHeight="1" x14ac:dyDescent="0.2">
      <c r="B256" s="132">
        <v>280</v>
      </c>
      <c r="C256" s="135"/>
      <c r="D256" s="134"/>
    </row>
    <row r="257" spans="2:4" s="131" customFormat="1" ht="27" hidden="1" customHeight="1" x14ac:dyDescent="0.2">
      <c r="B257" s="132">
        <v>281</v>
      </c>
      <c r="C257" s="135"/>
      <c r="D257" s="134"/>
    </row>
    <row r="258" spans="2:4" s="131" customFormat="1" ht="27" hidden="1" customHeight="1" x14ac:dyDescent="0.2">
      <c r="B258" s="132">
        <v>282</v>
      </c>
      <c r="C258" s="135"/>
      <c r="D258" s="134"/>
    </row>
    <row r="259" spans="2:4" s="131" customFormat="1" ht="27" hidden="1" customHeight="1" x14ac:dyDescent="0.2">
      <c r="B259" s="132">
        <v>283</v>
      </c>
      <c r="C259" s="135"/>
      <c r="D259" s="134"/>
    </row>
    <row r="260" spans="2:4" s="131" customFormat="1" ht="27" hidden="1" customHeight="1" x14ac:dyDescent="0.2">
      <c r="B260" s="132">
        <v>284</v>
      </c>
      <c r="C260" s="135"/>
      <c r="D260" s="134"/>
    </row>
    <row r="261" spans="2:4" s="131" customFormat="1" ht="27" hidden="1" customHeight="1" x14ac:dyDescent="0.2">
      <c r="B261" s="132">
        <v>285</v>
      </c>
      <c r="C261" s="135"/>
      <c r="D261" s="134"/>
    </row>
    <row r="262" spans="2:4" s="131" customFormat="1" ht="27" hidden="1" customHeight="1" x14ac:dyDescent="0.2">
      <c r="B262" s="132">
        <v>286</v>
      </c>
      <c r="C262" s="135"/>
      <c r="D262" s="134"/>
    </row>
    <row r="263" spans="2:4" s="131" customFormat="1" ht="27" hidden="1" customHeight="1" x14ac:dyDescent="0.2">
      <c r="B263" s="132">
        <v>287</v>
      </c>
      <c r="C263" s="135"/>
      <c r="D263" s="134"/>
    </row>
    <row r="264" spans="2:4" s="131" customFormat="1" ht="27" hidden="1" customHeight="1" x14ac:dyDescent="0.2">
      <c r="B264" s="132">
        <v>288</v>
      </c>
      <c r="C264" s="135"/>
      <c r="D264" s="134"/>
    </row>
    <row r="265" spans="2:4" s="131" customFormat="1" ht="27" hidden="1" customHeight="1" x14ac:dyDescent="0.2">
      <c r="B265" s="132">
        <v>289</v>
      </c>
      <c r="C265" s="135"/>
      <c r="D265" s="134"/>
    </row>
    <row r="266" spans="2:4" s="131" customFormat="1" ht="27" hidden="1" customHeight="1" x14ac:dyDescent="0.2">
      <c r="B266" s="132">
        <v>290</v>
      </c>
      <c r="C266" s="135"/>
      <c r="D266" s="134"/>
    </row>
    <row r="267" spans="2:4" s="131" customFormat="1" ht="27" hidden="1" customHeight="1" x14ac:dyDescent="0.2">
      <c r="B267" s="132">
        <v>291</v>
      </c>
      <c r="C267" s="135"/>
      <c r="D267" s="134"/>
    </row>
    <row r="268" spans="2:4" s="131" customFormat="1" ht="27" hidden="1" customHeight="1" x14ac:dyDescent="0.2">
      <c r="B268" s="132">
        <v>292</v>
      </c>
      <c r="C268" s="135"/>
      <c r="D268" s="134"/>
    </row>
    <row r="269" spans="2:4" s="131" customFormat="1" ht="27" hidden="1" customHeight="1" x14ac:dyDescent="0.2">
      <c r="B269" s="132">
        <v>293</v>
      </c>
      <c r="C269" s="135"/>
      <c r="D269" s="134"/>
    </row>
    <row r="270" spans="2:4" s="131" customFormat="1" ht="27" hidden="1" customHeight="1" x14ac:dyDescent="0.2">
      <c r="B270" s="132">
        <v>294</v>
      </c>
      <c r="C270" s="135"/>
      <c r="D270" s="134"/>
    </row>
    <row r="271" spans="2:4" s="131" customFormat="1" ht="27" hidden="1" customHeight="1" x14ac:dyDescent="0.2">
      <c r="B271" s="132">
        <v>295</v>
      </c>
      <c r="C271" s="135"/>
      <c r="D271" s="134"/>
    </row>
    <row r="272" spans="2:4" s="131" customFormat="1" ht="27" hidden="1" customHeight="1" x14ac:dyDescent="0.2">
      <c r="B272" s="132">
        <v>296</v>
      </c>
      <c r="C272" s="135"/>
      <c r="D272" s="134"/>
    </row>
    <row r="273" spans="2:4" s="131" customFormat="1" ht="27" hidden="1" customHeight="1" x14ac:dyDescent="0.2">
      <c r="B273" s="132">
        <v>297</v>
      </c>
      <c r="C273" s="135"/>
      <c r="D273" s="134"/>
    </row>
    <row r="274" spans="2:4" s="131" customFormat="1" ht="27" hidden="1" customHeight="1" x14ac:dyDescent="0.2">
      <c r="B274" s="132">
        <v>298</v>
      </c>
      <c r="C274" s="135"/>
      <c r="D274" s="134"/>
    </row>
    <row r="275" spans="2:4" s="131" customFormat="1" ht="27" hidden="1" customHeight="1" x14ac:dyDescent="0.2">
      <c r="B275" s="132">
        <v>299</v>
      </c>
      <c r="C275" s="135"/>
      <c r="D275" s="134"/>
    </row>
    <row r="276" spans="2:4" s="131" customFormat="1" ht="27" hidden="1" customHeight="1" x14ac:dyDescent="0.2">
      <c r="B276" s="132">
        <v>300</v>
      </c>
      <c r="C276" s="135"/>
      <c r="D276" s="134"/>
    </row>
    <row r="277" spans="2:4" ht="14.25" customHeight="1" x14ac:dyDescent="0.2">
      <c r="B277" s="136"/>
      <c r="C277" s="137"/>
      <c r="D277" s="138"/>
    </row>
    <row r="278" spans="2:4" ht="24" customHeight="1" x14ac:dyDescent="0.2">
      <c r="B278" s="276" t="s">
        <v>107</v>
      </c>
      <c r="C278" s="276"/>
      <c r="D278" s="276"/>
    </row>
    <row r="279" spans="2:4" s="124" customFormat="1" ht="27" customHeight="1" x14ac:dyDescent="0.2">
      <c r="B279" s="132">
        <v>1</v>
      </c>
      <c r="C279" s="133" t="str">
        <f>RESPUESTAS!BF7</f>
        <v>partidas arancelarias , nomeclatura</v>
      </c>
      <c r="D279" s="139"/>
    </row>
    <row r="280" spans="2:4" s="124" customFormat="1" ht="27" customHeight="1" x14ac:dyDescent="0.2">
      <c r="B280" s="132">
        <v>2</v>
      </c>
      <c r="C280" s="133" t="str">
        <f>RESPUESTAS!BF8</f>
        <v>.</v>
      </c>
      <c r="D280" s="139"/>
    </row>
    <row r="281" spans="2:4" s="124" customFormat="1" ht="27" customHeight="1" x14ac:dyDescent="0.2">
      <c r="B281" s="132">
        <v>3</v>
      </c>
      <c r="C281" s="133" t="str">
        <f>RESPUESTAS!BF9</f>
        <v>sobre mi area, actualizaciones!</v>
      </c>
      <c r="D281" s="139"/>
    </row>
    <row r="282" spans="2:4" s="124" customFormat="1" ht="27" customHeight="1" x14ac:dyDescent="0.2">
      <c r="B282" s="132">
        <v>4</v>
      </c>
      <c r="C282" s="133" t="str">
        <f>RESPUESTAS!BF10</f>
        <v>desarrollo / gestion de proyectos</v>
      </c>
      <c r="D282" s="139"/>
    </row>
    <row r="283" spans="2:4" s="124" customFormat="1" ht="27" customHeight="1" x14ac:dyDescent="0.2">
      <c r="B283" s="132">
        <v>5</v>
      </c>
      <c r="C283" s="133" t="str">
        <f>RESPUESTAS!BF11</f>
        <v>Logistica internacional</v>
      </c>
      <c r="D283" s="139"/>
    </row>
    <row r="284" spans="2:4" s="124" customFormat="1" ht="27" customHeight="1" x14ac:dyDescent="0.2">
      <c r="B284" s="132">
        <v>6</v>
      </c>
      <c r="C284" s="133" t="str">
        <f>RESPUESTAS!BF12</f>
        <v xml:space="preserve">EN GENERAL </v>
      </c>
      <c r="D284" s="139"/>
    </row>
    <row r="285" spans="2:4" s="124" customFormat="1" ht="27" customHeight="1" x14ac:dyDescent="0.2">
      <c r="B285" s="132">
        <v>7</v>
      </c>
      <c r="C285" s="133" t="str">
        <f>RESPUESTAS!BF13</f>
        <v>Sobre procedimientos</v>
      </c>
      <c r="D285" s="139"/>
    </row>
    <row r="286" spans="2:4" s="124" customFormat="1" ht="27" customHeight="1" x14ac:dyDescent="0.2">
      <c r="B286" s="132">
        <v>8</v>
      </c>
      <c r="C286" s="133" t="str">
        <f>RESPUESTAS!BF14</f>
        <v>LEGISLACION ADUANERA Y SUS CAMBIOS</v>
      </c>
      <c r="D286" s="139"/>
    </row>
    <row r="287" spans="2:4" s="124" customFormat="1" ht="14.25" x14ac:dyDescent="0.2">
      <c r="B287" s="132">
        <v>9</v>
      </c>
      <c r="C287" s="133" t="str">
        <f>RESPUESTAS!BF15</f>
        <v>Aduanas</v>
      </c>
      <c r="D287" s="139"/>
    </row>
    <row r="288" spans="2:4" s="124" customFormat="1" ht="27" customHeight="1" x14ac:dyDescent="0.2">
      <c r="B288" s="132">
        <v>10</v>
      </c>
      <c r="C288" s="133" t="str">
        <f>RESPUESTAS!BF16</f>
        <v>En comercio internacional.</v>
      </c>
      <c r="D288" s="139"/>
    </row>
    <row r="289" spans="2:4" s="124" customFormat="1" ht="27" customHeight="1" x14ac:dyDescent="0.2">
      <c r="B289" s="132">
        <v>11</v>
      </c>
      <c r="C289" s="133" t="str">
        <f>RESPUESTAS!BF17</f>
        <v>Leyes aduaneras</v>
      </c>
      <c r="D289" s="139"/>
    </row>
    <row r="290" spans="2:4" s="124" customFormat="1" ht="27" customHeight="1" x14ac:dyDescent="0.2">
      <c r="B290" s="132">
        <v>12</v>
      </c>
      <c r="C290" s="133" t="str">
        <f>RESPUESTAS!BF18</f>
        <v>Aduaneras, por mi puesto de trabajo.</v>
      </c>
      <c r="D290" s="139"/>
    </row>
    <row r="291" spans="2:4" s="124" customFormat="1" ht="27" customHeight="1" x14ac:dyDescent="0.2">
      <c r="B291" s="132">
        <v>13</v>
      </c>
      <c r="C291" s="133" t="str">
        <f>RESPUESTAS!BF19</f>
        <v>ADUANAS - SUNAT - CONTABILIDAD GENERAL - CONTABILIDAD LABORAL COMERCIO INTERNACIONAL</v>
      </c>
      <c r="D291" s="139"/>
    </row>
    <row r="292" spans="2:4" s="124" customFormat="1" ht="27" customHeight="1" x14ac:dyDescent="0.2">
      <c r="B292" s="132">
        <v>14</v>
      </c>
      <c r="C292" s="133" t="str">
        <f>RESPUESTAS!BF20</f>
        <v>Temas ADUANEROS</v>
      </c>
      <c r="D292" s="139"/>
    </row>
    <row r="293" spans="2:4" s="124" customFormat="1" ht="27" customHeight="1" x14ac:dyDescent="0.2">
      <c r="B293" s="132">
        <v>15</v>
      </c>
      <c r="C293" s="133" t="str">
        <f>RESPUESTAS!BF21</f>
        <v>Cursos de seguridad, actualizaciones de la nuevas leyes de aduanas</v>
      </c>
      <c r="D293" s="139"/>
    </row>
    <row r="294" spans="2:4" s="124" customFormat="1" ht="27" customHeight="1" x14ac:dyDescent="0.2">
      <c r="B294" s="132">
        <v>16</v>
      </c>
      <c r="C294" s="133" t="str">
        <f>RESPUESTAS!BF22</f>
        <v xml:space="preserve">AREA DE CONTABILIDAD </v>
      </c>
      <c r="D294" s="139"/>
    </row>
    <row r="295" spans="2:4" s="124" customFormat="1" ht="27" customHeight="1" x14ac:dyDescent="0.2">
      <c r="B295" s="132">
        <v>17</v>
      </c>
      <c r="C295" s="133" t="str">
        <f>RESPUESTAS!BF23</f>
        <v>Exportaciones</v>
      </c>
      <c r="D295" s="139"/>
    </row>
    <row r="296" spans="2:4" s="124" customFormat="1" ht="14.25" x14ac:dyDescent="0.2">
      <c r="B296" s="132">
        <v>18</v>
      </c>
      <c r="C296" s="133" t="str">
        <f>RESPUESTAS!BF24</f>
        <v xml:space="preserve">en todo que sea avances tecnológicos </v>
      </c>
      <c r="D296" s="139"/>
    </row>
    <row r="297" spans="2:4" s="124" customFormat="1" ht="27" customHeight="1" x14ac:dyDescent="0.2">
      <c r="B297" s="132">
        <v>19</v>
      </c>
      <c r="C297" s="133" t="str">
        <f>RESPUESTAS!BF25</f>
        <v>actualziaciones de sunat</v>
      </c>
      <c r="D297" s="139"/>
    </row>
    <row r="298" spans="2:4" s="124" customFormat="1" ht="14.25" x14ac:dyDescent="0.2">
      <c r="B298" s="132">
        <v>20</v>
      </c>
      <c r="C298" s="133" t="str">
        <f>RESPUESTAS!BF26</f>
        <v>normas aduaneras.</v>
      </c>
      <c r="D298" s="139"/>
    </row>
    <row r="299" spans="2:4" s="124" customFormat="1" ht="27" customHeight="1" x14ac:dyDescent="0.2">
      <c r="B299" s="132">
        <v>21</v>
      </c>
      <c r="C299" s="133" t="str">
        <f>RESPUESTAS!BF27</f>
        <v>DEVOPS, FRONTEND, BACKEND, BASE DE DATOS, INTELIGENCIA ARTIFICIAL</v>
      </c>
      <c r="D299" s="139"/>
    </row>
    <row r="300" spans="2:4" s="124" customFormat="1" ht="27" customHeight="1" x14ac:dyDescent="0.2">
      <c r="B300" s="132">
        <v>22</v>
      </c>
      <c r="C300" s="133" t="str">
        <f>RESPUESTAS!BF28</f>
        <v xml:space="preserve">ACTUALIZACION DE LOS INCOTERMS </v>
      </c>
      <c r="D300" s="139"/>
    </row>
    <row r="301" spans="2:4" s="124" customFormat="1" ht="27" customHeight="1" x14ac:dyDescent="0.2">
      <c r="B301" s="132">
        <v>23</v>
      </c>
      <c r="C301" s="133" t="str">
        <f>RESPUESTAS!BF29</f>
        <v>.</v>
      </c>
      <c r="D301" s="139"/>
    </row>
    <row r="302" spans="2:4" s="124" customFormat="1" ht="27" customHeight="1" x14ac:dyDescent="0.2">
      <c r="B302" s="132">
        <v>24</v>
      </c>
      <c r="C302" s="133" t="str">
        <f>RESPUESTAS!BF30</f>
        <v xml:space="preserve">En temas de importaciones </v>
      </c>
      <c r="D302" s="139"/>
    </row>
    <row r="303" spans="2:4" s="124" customFormat="1" ht="27" customHeight="1" x14ac:dyDescent="0.2">
      <c r="B303" s="132">
        <v>25</v>
      </c>
      <c r="C303" s="133" t="str">
        <f>RESPUESTAS!BF31</f>
        <v>SEGURIDAD EN EL TRABAJO</v>
      </c>
      <c r="D303" s="139"/>
    </row>
    <row r="304" spans="2:4" s="124" customFormat="1" ht="27" customHeight="1" x14ac:dyDescent="0.2">
      <c r="B304" s="132">
        <v>26</v>
      </c>
      <c r="C304" s="133" t="str">
        <f>RESPUESTAS!BF32</f>
        <v>Temas de numeración de otros regímenes (revisión de documentos e ingreso al sistema)</v>
      </c>
      <c r="D304" s="139"/>
    </row>
    <row r="305" spans="2:4" s="124" customFormat="1" ht="27" customHeight="1" x14ac:dyDescent="0.2">
      <c r="B305" s="132">
        <v>27</v>
      </c>
      <c r="C305" s="133" t="str">
        <f>RESPUESTAS!BF33</f>
        <v>recursos humanos</v>
      </c>
      <c r="D305" s="139"/>
    </row>
    <row r="306" spans="2:4" s="124" customFormat="1" ht="27" customHeight="1" x14ac:dyDescent="0.2">
      <c r="B306" s="132">
        <v>28</v>
      </c>
      <c r="C306" s="133" t="str">
        <f>RESPUESTAS!BF34</f>
        <v>TEMAS ADUANEROS</v>
      </c>
      <c r="D306" s="139"/>
    </row>
    <row r="307" spans="2:4" s="124" customFormat="1" ht="27" customHeight="1" x14ac:dyDescent="0.2">
      <c r="B307" s="132">
        <v>29</v>
      </c>
      <c r="C307" s="133" t="str">
        <f>RESPUESTAS!BF35</f>
        <v>MANEJO DOCUMENTARIO Y PROCESOS PARA REALIZAR DESPACHOS Y SISTEMAS</v>
      </c>
      <c r="D307" s="139"/>
    </row>
    <row r="308" spans="2:4" s="124" customFormat="1" ht="27" customHeight="1" x14ac:dyDescent="0.2">
      <c r="B308" s="132">
        <v>30</v>
      </c>
      <c r="C308" s="133" t="str">
        <f>RESPUESTAS!BF36</f>
        <v>EXPORTACIONES</v>
      </c>
      <c r="D308" s="139"/>
    </row>
    <row r="309" spans="2:4" s="124" customFormat="1" ht="27" customHeight="1" x14ac:dyDescent="0.2">
      <c r="B309" s="132">
        <v>31</v>
      </c>
      <c r="C309" s="133" t="str">
        <f>RESPUESTAS!BF37</f>
        <v xml:space="preserve">SOBRE EL COMERCIO EXTERIOR </v>
      </c>
      <c r="D309" s="139"/>
    </row>
    <row r="310" spans="2:4" s="124" customFormat="1" ht="27" customHeight="1" x14ac:dyDescent="0.2">
      <c r="B310" s="132">
        <v>32</v>
      </c>
      <c r="C310" s="133" t="str">
        <f>RESPUESTAS!BF38</f>
        <v>EN TODAS LAS AREAS</v>
      </c>
      <c r="D310" s="139"/>
    </row>
    <row r="311" spans="2:4" s="124" customFormat="1" ht="27" customHeight="1" x14ac:dyDescent="0.2">
      <c r="B311" s="132">
        <v>33</v>
      </c>
      <c r="C311" s="133" t="str">
        <f>RESPUESTAS!BF39</f>
        <v>todos</v>
      </c>
      <c r="D311" s="139"/>
    </row>
    <row r="312" spans="2:4" s="124" customFormat="1" ht="27" customHeight="1" x14ac:dyDescent="0.2">
      <c r="B312" s="132">
        <v>34</v>
      </c>
      <c r="C312" s="133" t="str">
        <f>RESPUESTAS!BF40</f>
        <v>Liderazgo</v>
      </c>
      <c r="D312" s="139"/>
    </row>
    <row r="313" spans="2:4" s="124" customFormat="1" ht="27" customHeight="1" x14ac:dyDescent="0.2">
      <c r="B313" s="132">
        <v>35</v>
      </c>
      <c r="C313" s="133" t="str">
        <f>RESPUESTAS!BF41</f>
        <v>IMPORTACIONES</v>
      </c>
      <c r="D313" s="139"/>
    </row>
    <row r="314" spans="2:4" s="124" customFormat="1" ht="27" customHeight="1" x14ac:dyDescent="0.2">
      <c r="B314" s="132">
        <v>36</v>
      </c>
      <c r="C314" s="133" t="str">
        <f>RESPUESTAS!BF42</f>
        <v>TODO LO ASOCIADO A ADUANAS</v>
      </c>
      <c r="D314" s="139"/>
    </row>
    <row r="315" spans="2:4" s="124" customFormat="1" ht="27" customHeight="1" x14ac:dyDescent="0.2">
      <c r="B315" s="132">
        <v>37</v>
      </c>
      <c r="C315" s="133" t="str">
        <f>RESPUESTAS!BF43</f>
        <v>exportación e importación</v>
      </c>
      <c r="D315" s="139"/>
    </row>
    <row r="316" spans="2:4" s="124" customFormat="1" ht="27" customHeight="1" x14ac:dyDescent="0.2">
      <c r="B316" s="132">
        <v>38</v>
      </c>
      <c r="C316" s="133" t="str">
        <f>RESPUESTAS!BF44</f>
        <v>NINGUNA</v>
      </c>
      <c r="D316" s="139"/>
    </row>
    <row r="317" spans="2:4" s="124" customFormat="1" ht="27" customHeight="1" x14ac:dyDescent="0.2">
      <c r="B317" s="132">
        <v>39</v>
      </c>
      <c r="C317" s="133" t="str">
        <f>RESPUESTAS!BF45</f>
        <v>EN TEMAS DE EXPORTACIONES MARITIMAS Y AEREAS</v>
      </c>
      <c r="D317" s="139"/>
    </row>
    <row r="318" spans="2:4" s="124" customFormat="1" ht="27" customHeight="1" x14ac:dyDescent="0.2">
      <c r="B318" s="132">
        <v>40</v>
      </c>
      <c r="C318" s="133" t="str">
        <f>RESPUESTAS!BF46</f>
        <v>-</v>
      </c>
      <c r="D318" s="139"/>
    </row>
    <row r="319" spans="2:4" s="124" customFormat="1" ht="27" customHeight="1" x14ac:dyDescent="0.2">
      <c r="B319" s="132">
        <v>41</v>
      </c>
      <c r="C319" s="133" t="str">
        <f>RESPUESTAS!BF47</f>
        <v>INCOTERMS</v>
      </c>
      <c r="D319" s="139"/>
    </row>
    <row r="320" spans="2:4" s="124" customFormat="1" ht="27" customHeight="1" x14ac:dyDescent="0.2">
      <c r="B320" s="132">
        <v>42</v>
      </c>
      <c r="C320" s="133" t="str">
        <f>RESPUESTAS!BF48</f>
        <v>Sistema</v>
      </c>
      <c r="D320" s="139"/>
    </row>
    <row r="321" spans="2:4" s="124" customFormat="1" ht="27" customHeight="1" x14ac:dyDescent="0.2">
      <c r="B321" s="132">
        <v>43</v>
      </c>
      <c r="C321" s="133" t="str">
        <f>RESPUESTAS!BF49</f>
        <v xml:space="preserve">SSO, ERGONOMIA, RELACION LABORAL, OTROS </v>
      </c>
      <c r="D321" s="139"/>
    </row>
    <row r="322" spans="2:4" s="124" customFormat="1" ht="27" customHeight="1" x14ac:dyDescent="0.2">
      <c r="B322" s="132">
        <v>44</v>
      </c>
      <c r="C322" s="133" t="str">
        <f>RESPUESTAS!BF50</f>
        <v>NOMENCLATURA</v>
      </c>
      <c r="D322" s="139"/>
    </row>
    <row r="323" spans="2:4" s="124" customFormat="1" ht="27" customHeight="1" x14ac:dyDescent="0.2">
      <c r="B323" s="132">
        <v>45</v>
      </c>
      <c r="C323" s="133" t="str">
        <f>RESPUESTAS!BF51</f>
        <v>programacion</v>
      </c>
      <c r="D323" s="139"/>
    </row>
    <row r="324" spans="2:4" s="124" customFormat="1" ht="27" customHeight="1" x14ac:dyDescent="0.2">
      <c r="B324" s="132">
        <v>46</v>
      </c>
      <c r="C324" s="133" t="str">
        <f>RESPUESTAS!BF52</f>
        <v>Xx</v>
      </c>
      <c r="D324" s="139"/>
    </row>
    <row r="325" spans="2:4" s="124" customFormat="1" ht="27" customHeight="1" x14ac:dyDescent="0.2">
      <c r="B325" s="132">
        <v>47</v>
      </c>
      <c r="C325" s="133" t="str">
        <f>RESPUESTAS!BF53</f>
        <v>regimenes</v>
      </c>
      <c r="D325" s="139"/>
    </row>
    <row r="326" spans="2:4" s="124" customFormat="1" ht="27" customHeight="1" x14ac:dyDescent="0.2">
      <c r="B326" s="132">
        <v>48</v>
      </c>
      <c r="C326" s="133" t="str">
        <f>RESPUESTAS!BF54</f>
        <v>Temas Operacionales.</v>
      </c>
      <c r="D326" s="139"/>
    </row>
    <row r="327" spans="2:4" s="124" customFormat="1" ht="27" customHeight="1" x14ac:dyDescent="0.2">
      <c r="B327" s="132">
        <v>49</v>
      </c>
      <c r="C327" s="133" t="str">
        <f>RESPUESTAS!BF55</f>
        <v>Comercio exterior en general con certificaciones, a fin de poder obtener mayores conocimientos que se pueden colocar en práctica.</v>
      </c>
      <c r="D327" s="139"/>
    </row>
    <row r="328" spans="2:4" s="124" customFormat="1" ht="27" customHeight="1" x14ac:dyDescent="0.2">
      <c r="B328" s="132">
        <v>50</v>
      </c>
      <c r="C328" s="133" t="str">
        <f>RESPUESTAS!BF56</f>
        <v>Tecnología AI</v>
      </c>
      <c r="D328" s="139"/>
    </row>
    <row r="329" spans="2:4" s="124" customFormat="1" ht="27" customHeight="1" x14ac:dyDescent="0.2">
      <c r="B329" s="132">
        <v>51</v>
      </c>
      <c r="C329" s="133" t="str">
        <f>RESPUESTAS!BF57</f>
        <v>Comunicación, gestión del tiempo, seguridad, y liderazgo</v>
      </c>
      <c r="D329" s="139"/>
    </row>
    <row r="330" spans="2:4" s="124" customFormat="1" ht="27" customHeight="1" x14ac:dyDescent="0.2">
      <c r="B330" s="132">
        <v>52</v>
      </c>
      <c r="C330" s="133" t="str">
        <f>RESPUESTAS!BF58</f>
        <v>NUMERACIONES DE OTROS REGÍMENES ADUANEROS</v>
      </c>
      <c r="D330" s="139"/>
    </row>
    <row r="331" spans="2:4" s="124" customFormat="1" ht="27" customHeight="1" x14ac:dyDescent="0.2">
      <c r="B331" s="132">
        <v>53</v>
      </c>
      <c r="C331" s="133" t="str">
        <f>RESPUESTAS!BF59</f>
        <v xml:space="preserve">motivación </v>
      </c>
      <c r="D331" s="139"/>
    </row>
    <row r="332" spans="2:4" s="124" customFormat="1" ht="27" customHeight="1" x14ac:dyDescent="0.2">
      <c r="B332" s="132">
        <v>54</v>
      </c>
      <c r="C332" s="133" t="str">
        <f>RESPUESTAS!BF60</f>
        <v xml:space="preserve">En el rubro de comercio </v>
      </c>
      <c r="D332" s="139"/>
    </row>
    <row r="333" spans="2:4" s="124" customFormat="1" ht="27" customHeight="1" x14ac:dyDescent="0.2">
      <c r="B333" s="132">
        <v>55</v>
      </c>
      <c r="C333" s="133" t="str">
        <f>RESPUESTAS!BF61</f>
        <v>En los procedimientos de aduanas , actualizar y posibilidad de charlas que nos puedan ayudar a crecer profesionalmente .</v>
      </c>
      <c r="D333" s="139"/>
    </row>
    <row r="334" spans="2:4" s="124" customFormat="1" ht="27" customHeight="1" x14ac:dyDescent="0.2">
      <c r="B334" s="132">
        <v>56</v>
      </c>
      <c r="C334" s="133" t="str">
        <f>RESPUESTAS!BF62</f>
        <v>Que se pueda hacer una retroalimentación entre todos, mínimo 1 vez por mes. En dónde todos podamos tocar entre cada área, casitos particulares y las soluciones que se le pudo dar. Así tendríamos más forma de realizar mejor muchos procesos.</v>
      </c>
      <c r="D334" s="139"/>
    </row>
    <row r="335" spans="2:4" s="124" customFormat="1" ht="27" customHeight="1" x14ac:dyDescent="0.2">
      <c r="B335" s="132">
        <v>57</v>
      </c>
      <c r="C335" s="133" t="str">
        <f>RESPUESTAS!BF63</f>
        <v xml:space="preserve">En numeraciones para numerar importación </v>
      </c>
      <c r="D335" s="139"/>
    </row>
    <row r="336" spans="2:4" s="124" customFormat="1" ht="14.25" x14ac:dyDescent="0.2">
      <c r="B336" s="132">
        <v>58</v>
      </c>
      <c r="C336" s="133" t="str">
        <f>RESPUESTAS!BF64</f>
        <v>ADUANEROS Y LOGISTICOS</v>
      </c>
      <c r="D336" s="139"/>
    </row>
    <row r="337" spans="2:4" s="124" customFormat="1" ht="27" customHeight="1" x14ac:dyDescent="0.2">
      <c r="B337" s="132">
        <v>59</v>
      </c>
      <c r="C337" s="133" t="str">
        <f>RESPUESTAS!BF65</f>
        <v>En Exportacion</v>
      </c>
      <c r="D337" s="139"/>
    </row>
    <row r="338" spans="2:4" s="124" customFormat="1" ht="27" customHeight="1" x14ac:dyDescent="0.2">
      <c r="B338" s="132">
        <v>60</v>
      </c>
      <c r="C338" s="133" t="str">
        <f>RESPUESTAS!BF66</f>
        <v>en aduana los nuevos cambios q hay con la digitalización de documentos 💼</v>
      </c>
      <c r="D338" s="139"/>
    </row>
    <row r="339" spans="2:4" s="124" customFormat="1" ht="27" customHeight="1" x14ac:dyDescent="0.2">
      <c r="B339" s="132">
        <v>61</v>
      </c>
      <c r="C339" s="133" t="str">
        <f>RESPUESTAS!BF67</f>
        <v>comercio</v>
      </c>
      <c r="D339" s="139"/>
    </row>
    <row r="340" spans="2:4" s="124" customFormat="1" ht="27" customHeight="1" x14ac:dyDescent="0.2">
      <c r="B340" s="132">
        <v>62</v>
      </c>
      <c r="C340" s="133" t="str">
        <f>RESPUESTAS!BF68</f>
        <v>capacitaciones que nos ayuden a desarrollar y gestionar estrategias de importación y exportación.</v>
      </c>
      <c r="D340" s="139"/>
    </row>
    <row r="341" spans="2:4" s="124" customFormat="1" ht="27" customHeight="1" x14ac:dyDescent="0.2">
      <c r="B341" s="132">
        <v>63</v>
      </c>
      <c r="C341" s="133" t="str">
        <f>RESPUESTAS!BF69</f>
        <v>.</v>
      </c>
      <c r="D341" s="139"/>
    </row>
    <row r="342" spans="2:4" s="124" customFormat="1" ht="27" customHeight="1" x14ac:dyDescent="0.2">
      <c r="B342" s="132">
        <v>64</v>
      </c>
      <c r="C342" s="133" t="str">
        <f>RESPUESTAS!BF70</f>
        <v>----</v>
      </c>
      <c r="D342" s="139"/>
    </row>
    <row r="343" spans="2:4" s="124" customFormat="1" ht="27" customHeight="1" x14ac:dyDescent="0.2">
      <c r="B343" s="132">
        <v>65</v>
      </c>
      <c r="C343" s="133" t="str">
        <f>RESPUESTAS!BF71</f>
        <v xml:space="preserve">Impuestos </v>
      </c>
      <c r="D343" s="139"/>
    </row>
    <row r="344" spans="2:4" s="124" customFormat="1" ht="27" customHeight="1" x14ac:dyDescent="0.2">
      <c r="B344" s="132">
        <v>66</v>
      </c>
      <c r="C344" s="133" t="str">
        <f>RESPUESTAS!BF72</f>
        <v>Que nos enseñen labores para poder escalar</v>
      </c>
      <c r="D344" s="139"/>
    </row>
    <row r="345" spans="2:4" s="124" customFormat="1" ht="27" customHeight="1" x14ac:dyDescent="0.2">
      <c r="B345" s="132">
        <v>67</v>
      </c>
      <c r="C345" s="133" t="str">
        <f>RESPUESTAS!BF73</f>
        <v>Me gustaría recibir capacitaciones sobre los procedimientos legales y operativos en aduanas, los procesos de exportación, la gestión logística, cadenas de suministros, análisis de costos, comercio exterior en general.</v>
      </c>
      <c r="D345" s="139"/>
    </row>
    <row r="346" spans="2:4" s="124" customFormat="1" ht="27" customHeight="1" x14ac:dyDescent="0.2">
      <c r="B346" s="132">
        <v>68</v>
      </c>
      <c r="C346" s="133" t="str">
        <f>RESPUESTAS!BF74</f>
        <v xml:space="preserve">Ya que somos de otra área, nos gustaría que nos capaciten en temas que no hayamos visto. Pre embarques </v>
      </c>
      <c r="D346" s="139"/>
    </row>
    <row r="347" spans="2:4" s="124" customFormat="1" ht="27" customHeight="1" x14ac:dyDescent="0.2">
      <c r="B347" s="132">
        <v>69</v>
      </c>
      <c r="C347" s="133" t="str">
        <f>RESPUESTAS!BF75</f>
        <v>En importacion</v>
      </c>
      <c r="D347" s="139"/>
    </row>
    <row r="348" spans="2:4" s="124" customFormat="1" ht="27" customHeight="1" x14ac:dyDescent="0.2">
      <c r="B348" s="132">
        <v>70</v>
      </c>
      <c r="C348" s="133" t="str">
        <f>RESPUESTAS!BF76</f>
        <v>Ley Ge era de Aduanas y sus modificaciones.</v>
      </c>
      <c r="D348" s="139"/>
    </row>
    <row r="349" spans="2:4" s="124" customFormat="1" ht="27" customHeight="1" x14ac:dyDescent="0.2">
      <c r="B349" s="132">
        <v>71</v>
      </c>
      <c r="C349" s="133" t="str">
        <f>RESPUESTAS!BF77</f>
        <v>Procedimientos y documentación.</v>
      </c>
      <c r="D349" s="139"/>
    </row>
    <row r="350" spans="2:4" s="124" customFormat="1" ht="27" customHeight="1" x14ac:dyDescent="0.2">
      <c r="B350" s="132">
        <v>72</v>
      </c>
      <c r="C350" s="133" t="str">
        <f>RESPUESTAS!BF78</f>
        <v>Regimen de importación, actualizaciones y los nuevos cambios</v>
      </c>
      <c r="D350" s="139"/>
    </row>
    <row r="351" spans="2:4" s="124" customFormat="1" ht="27" customHeight="1" x14ac:dyDescent="0.2">
      <c r="B351" s="132">
        <v>73</v>
      </c>
      <c r="C351" s="133" t="str">
        <f>RESPUESTAS!BF79</f>
        <v>Actualizacion de la ley general,  procedimientos</v>
      </c>
      <c r="D351" s="139"/>
    </row>
    <row r="352" spans="2:4" s="124" customFormat="1" ht="27" customHeight="1" x14ac:dyDescent="0.2">
      <c r="B352" s="132">
        <v>74</v>
      </c>
      <c r="C352" s="133" t="str">
        <f>RESPUESTAS!BF80</f>
        <v>LOS NUEVOS CAMBIOS QUE HACE LA ADUANA</v>
      </c>
      <c r="D352" s="139"/>
    </row>
    <row r="353" spans="2:4" s="124" customFormat="1" ht="27" customHeight="1" x14ac:dyDescent="0.2">
      <c r="B353" s="132">
        <v>75</v>
      </c>
      <c r="C353" s="133" t="str">
        <f>RESPUESTAS!BF81</f>
        <v>Inteligencia artificial y Base de datos.</v>
      </c>
      <c r="D353" s="139"/>
    </row>
    <row r="354" spans="2:4" s="124" customFormat="1" ht="27" customHeight="1" x14ac:dyDescent="0.2">
      <c r="B354" s="132">
        <v>76</v>
      </c>
      <c r="C354" s="133" t="str">
        <f>RESPUESTAS!BF82</f>
        <v>.</v>
      </c>
      <c r="D354" s="139"/>
    </row>
    <row r="355" spans="2:4" s="124" customFormat="1" ht="27" customHeight="1" x14ac:dyDescent="0.2">
      <c r="B355" s="132">
        <v>77</v>
      </c>
      <c r="C355" s="133" t="str">
        <f>RESPUESTAS!BF83</f>
        <v>Análisis de datos.</v>
      </c>
      <c r="D355" s="139"/>
    </row>
    <row r="356" spans="2:4" s="124" customFormat="1" ht="27" customHeight="1" x14ac:dyDescent="0.2">
      <c r="B356" s="132">
        <v>78</v>
      </c>
      <c r="C356" s="133" t="str">
        <f>RESPUESTAS!BF84</f>
        <v xml:space="preserve">en el tema de realizar datos finales </v>
      </c>
      <c r="D356" s="139"/>
    </row>
    <row r="357" spans="2:4" s="124" customFormat="1" ht="27" customHeight="1" x14ac:dyDescent="0.2">
      <c r="B357" s="132">
        <v>79</v>
      </c>
      <c r="C357" s="133" t="str">
        <f>RESPUESTAS!BF85</f>
        <v>Relacionado a exportaciones y operatividad aduanera</v>
      </c>
      <c r="D357" s="139"/>
    </row>
    <row r="358" spans="2:4" s="124" customFormat="1" ht="27" customHeight="1" x14ac:dyDescent="0.2">
      <c r="B358" s="132">
        <v>80</v>
      </c>
      <c r="C358" s="133" t="str">
        <f>RESPUESTAS!BF86</f>
        <v xml:space="preserve">en equipos de emergencia </v>
      </c>
      <c r="D358" s="139"/>
    </row>
    <row r="359" spans="2:4" s="124" customFormat="1" ht="27" customHeight="1" x14ac:dyDescent="0.2">
      <c r="B359" s="132">
        <v>81</v>
      </c>
      <c r="C359" s="133" t="str">
        <f>RESPUESTAS!BF87</f>
        <v>Controlling Financiero</v>
      </c>
      <c r="D359" s="139"/>
    </row>
    <row r="360" spans="2:4" s="124" customFormat="1" ht="27" customHeight="1" x14ac:dyDescent="0.2">
      <c r="B360" s="132">
        <v>82</v>
      </c>
      <c r="C360" s="133" t="str">
        <f>RESPUESTAS!BF88</f>
        <v>Actualizaciones del comercio exterior</v>
      </c>
      <c r="D360" s="139"/>
    </row>
    <row r="361" spans="2:4" s="124" customFormat="1" ht="27" customHeight="1" x14ac:dyDescent="0.2">
      <c r="B361" s="132">
        <v>83</v>
      </c>
      <c r="C361" s="133" t="str">
        <f>RESPUESTAS!BF89</f>
        <v xml:space="preserve">Sobre exportaciones </v>
      </c>
      <c r="D361" s="139"/>
    </row>
    <row r="362" spans="2:4" s="124" customFormat="1" ht="27" customHeight="1" x14ac:dyDescent="0.2">
      <c r="B362" s="132">
        <v>84</v>
      </c>
      <c r="C362" s="133" t="str">
        <f>RESPUESTAS!BF90</f>
        <v xml:space="preserve">cursos de gestión, planillas, talleres </v>
      </c>
      <c r="D362" s="139"/>
    </row>
    <row r="363" spans="2:4" s="124" customFormat="1" ht="27" customHeight="1" x14ac:dyDescent="0.2">
      <c r="B363" s="132">
        <v>85</v>
      </c>
      <c r="C363" s="133" t="str">
        <f>RESPUESTAS!BF91</f>
        <v xml:space="preserve">La remuneración </v>
      </c>
      <c r="D363" s="139"/>
    </row>
    <row r="364" spans="2:4" s="124" customFormat="1" ht="27" customHeight="1" x14ac:dyDescent="0.2">
      <c r="B364" s="132">
        <v>86</v>
      </c>
      <c r="C364" s="133" t="str">
        <f>RESPUESTAS!BF92</f>
        <v xml:space="preserve">Comercio exterior, Excel avanzado m, etc. </v>
      </c>
      <c r="D364" s="139"/>
    </row>
    <row r="365" spans="2:4" s="124" customFormat="1" ht="27" customHeight="1" x14ac:dyDescent="0.2">
      <c r="B365" s="132">
        <v>87</v>
      </c>
      <c r="C365" s="133" t="str">
        <f>RESPUESTAS!BF93</f>
        <v>cultura</v>
      </c>
      <c r="D365" s="139"/>
    </row>
    <row r="366" spans="2:4" s="124" customFormat="1" ht="27" customHeight="1" x14ac:dyDescent="0.2">
      <c r="B366" s="132">
        <v>88</v>
      </c>
      <c r="C366" s="133" t="str">
        <f>RESPUESTAS!BF94</f>
        <v xml:space="preserve">Capacitación del area para los trabajadores </v>
      </c>
      <c r="D366" s="139"/>
    </row>
    <row r="367" spans="2:4" s="124" customFormat="1" ht="27" customHeight="1" x14ac:dyDescent="0.2">
      <c r="B367" s="132">
        <v>89</v>
      </c>
      <c r="C367" s="133" t="str">
        <f>RESPUESTAS!BF95</f>
        <v>EN MOTIVACION</v>
      </c>
      <c r="D367" s="139"/>
    </row>
    <row r="368" spans="2:4" s="124" customFormat="1" ht="27" customHeight="1" x14ac:dyDescent="0.2">
      <c r="B368" s="132">
        <v>90</v>
      </c>
      <c r="C368" s="133" t="str">
        <f>RESPUESTAS!BF96</f>
        <v>Lga</v>
      </c>
      <c r="D368" s="139"/>
    </row>
    <row r="369" spans="2:4" s="124" customFormat="1" ht="27" customHeight="1" x14ac:dyDescent="0.2">
      <c r="B369" s="132">
        <v>91</v>
      </c>
      <c r="C369" s="133" t="str">
        <f>RESPUESTAS!BF97</f>
        <v xml:space="preserve">Logística y operaciones </v>
      </c>
      <c r="D369" s="139"/>
    </row>
    <row r="370" spans="2:4" s="124" customFormat="1" ht="27" customHeight="1" x14ac:dyDescent="0.2">
      <c r="B370" s="132">
        <v>92</v>
      </c>
      <c r="C370" s="133" t="str">
        <f>RESPUESTAS!BF98</f>
        <v>Laboral y Aduana</v>
      </c>
      <c r="D370" s="139"/>
    </row>
    <row r="371" spans="2:4" s="124" customFormat="1" ht="27" customHeight="1" x14ac:dyDescent="0.2">
      <c r="B371" s="132">
        <v>93</v>
      </c>
      <c r="C371" s="133" t="str">
        <f>RESPUESTAS!BF99</f>
        <v xml:space="preserve">En exportación </v>
      </c>
      <c r="D371" s="139"/>
    </row>
    <row r="372" spans="2:4" s="124" customFormat="1" ht="27" customHeight="1" x14ac:dyDescent="0.2">
      <c r="B372" s="132">
        <v>94</v>
      </c>
      <c r="C372" s="133" t="str">
        <f>RESPUESTAS!BF100</f>
        <v>Datos finales, liquidación</v>
      </c>
      <c r="D372" s="139"/>
    </row>
    <row r="373" spans="2:4" s="124" customFormat="1" ht="27" customHeight="1" x14ac:dyDescent="0.2">
      <c r="B373" s="132">
        <v>95</v>
      </c>
      <c r="C373" s="133" t="str">
        <f>RESPUESTAS!BF101</f>
        <v>Legal</v>
      </c>
      <c r="D373" s="139"/>
    </row>
    <row r="374" spans="2:4" s="124" customFormat="1" ht="27" customHeight="1" x14ac:dyDescent="0.2">
      <c r="B374" s="132">
        <v>96</v>
      </c>
      <c r="C374" s="133" t="str">
        <f>RESPUESTAS!BF102</f>
        <v>Derechos laborales del trabajador</v>
      </c>
      <c r="D374" s="139"/>
    </row>
    <row r="375" spans="2:4" s="124" customFormat="1" ht="27" customHeight="1" x14ac:dyDescent="0.2">
      <c r="B375" s="132">
        <v>97</v>
      </c>
      <c r="C375" s="133" t="str">
        <f>RESPUESTAS!BF103</f>
        <v>Legislacion</v>
      </c>
      <c r="D375" s="139"/>
    </row>
    <row r="376" spans="2:4" s="124" customFormat="1" ht="27" customHeight="1" x14ac:dyDescent="0.2">
      <c r="B376" s="132">
        <v>98</v>
      </c>
      <c r="C376" s="133" t="str">
        <f>RESPUESTAS!BF104</f>
        <v>temas relacionados con procesos de documentación de embarques , procesos de regularizaciones y temas del manejo del SINTAD</v>
      </c>
      <c r="D376" s="139"/>
    </row>
    <row r="377" spans="2:4" s="124" customFormat="1" ht="27" customHeight="1" x14ac:dyDescent="0.2">
      <c r="B377" s="132">
        <v>99</v>
      </c>
      <c r="C377" s="133" t="str">
        <f>RESPUESTAS!BF105</f>
        <v>Operativo</v>
      </c>
      <c r="D377" s="139"/>
    </row>
    <row r="378" spans="2:4" s="124" customFormat="1" ht="27" customHeight="1" x14ac:dyDescent="0.2">
      <c r="B378" s="132">
        <v>100</v>
      </c>
      <c r="C378" s="133" t="str">
        <f>RESPUESTAS!BF106</f>
        <v>LEY GENERAL DE ADUANAS</v>
      </c>
      <c r="D378" s="139"/>
    </row>
    <row r="379" spans="2:4" s="124" customFormat="1" ht="27" customHeight="1" x14ac:dyDescent="0.2">
      <c r="B379" s="132">
        <v>101</v>
      </c>
      <c r="C379" s="133" t="str">
        <f>RESPUESTAS!BF107</f>
        <v>finanzas - Exportaciones</v>
      </c>
      <c r="D379" s="139"/>
    </row>
    <row r="380" spans="2:4" s="124" customFormat="1" ht="27" customHeight="1" x14ac:dyDescent="0.2">
      <c r="B380" s="132">
        <v>102</v>
      </c>
      <c r="C380" s="133" t="str">
        <f>RESPUESTAS!BF108</f>
        <v>LEGAL</v>
      </c>
      <c r="D380" s="139"/>
    </row>
    <row r="381" spans="2:4" s="124" customFormat="1" ht="27" customHeight="1" x14ac:dyDescent="0.2">
      <c r="B381" s="132">
        <v>103</v>
      </c>
      <c r="C381" s="133" t="str">
        <f>RESPUESTAS!BF109</f>
        <v xml:space="preserve">Comercio exterior
</v>
      </c>
      <c r="D381" s="139"/>
    </row>
    <row r="382" spans="2:4" s="124" customFormat="1" ht="27" customHeight="1" x14ac:dyDescent="0.2">
      <c r="B382" s="132">
        <v>104</v>
      </c>
      <c r="C382" s="133" t="str">
        <f>RESPUESTAS!BF110</f>
        <v>EN TEMAS DE EXPORTACION</v>
      </c>
      <c r="D382" s="139"/>
    </row>
    <row r="383" spans="2:4" s="124" customFormat="1" ht="27" customHeight="1" x14ac:dyDescent="0.2">
      <c r="B383" s="132">
        <v>105</v>
      </c>
      <c r="C383" s="133" t="str">
        <f>RESPUESTAS!BF111</f>
        <v>Comercio internacional, gestión logística</v>
      </c>
      <c r="D383" s="139"/>
    </row>
    <row r="384" spans="2:4" s="124" customFormat="1" ht="27" customHeight="1" x14ac:dyDescent="0.2">
      <c r="B384" s="132">
        <v>106</v>
      </c>
      <c r="C384" s="133" t="str">
        <f>RESPUESTAS!BF112</f>
        <v>En las actualizaciones aduaneras, a veces no son del todo claras y necesitamos tenerlo claro al momento de declarar o numerar para no caer en infracciones y demás temas inherentes a nuestro trabajo operativo, como guías, comprobantes de pago, etc.</v>
      </c>
      <c r="D384" s="139"/>
    </row>
    <row r="385" spans="2:4" s="124" customFormat="1" ht="27" customHeight="1" x14ac:dyDescent="0.2">
      <c r="B385" s="132">
        <v>107</v>
      </c>
      <c r="C385" s="133" t="str">
        <f>RESPUESTAS!BF113</f>
        <v>---</v>
      </c>
      <c r="D385" s="139"/>
    </row>
    <row r="386" spans="2:4" s="124" customFormat="1" ht="27" customHeight="1" x14ac:dyDescent="0.2">
      <c r="B386" s="132">
        <v>108</v>
      </c>
      <c r="C386" s="133" t="str">
        <f>RESPUESTAS!BF114</f>
        <v>Contable y financiero</v>
      </c>
      <c r="D386" s="139"/>
    </row>
    <row r="387" spans="2:4" s="124" customFormat="1" ht="27" customHeight="1" x14ac:dyDescent="0.2">
      <c r="B387" s="132">
        <v>109</v>
      </c>
      <c r="C387" s="133" t="str">
        <f>RESPUESTAS!BF115</f>
        <v xml:space="preserve">de contabilidad </v>
      </c>
      <c r="D387" s="139"/>
    </row>
    <row r="388" spans="2:4" s="124" customFormat="1" ht="27" customHeight="1" x14ac:dyDescent="0.2">
      <c r="B388" s="132">
        <v>110</v>
      </c>
      <c r="C388" s="133" t="str">
        <f>RESPUESTAS!BF116</f>
        <v>Comercio Internacional y Derecho Aduanero</v>
      </c>
      <c r="D388" s="139"/>
    </row>
    <row r="389" spans="2:4" s="124" customFormat="1" ht="27" customHeight="1" x14ac:dyDescent="0.2">
      <c r="B389" s="132">
        <v>111</v>
      </c>
      <c r="C389" s="133" t="str">
        <f>RESPUESTAS!BF117</f>
        <v>Normas y leyea legales</v>
      </c>
      <c r="D389" s="139"/>
    </row>
    <row r="390" spans="2:4" s="124" customFormat="1" ht="27" customHeight="1" x14ac:dyDescent="0.2">
      <c r="B390" s="132">
        <v>112</v>
      </c>
      <c r="C390" s="133" t="str">
        <f>RESPUESTAS!BF118</f>
        <v xml:space="preserve">UNA ESPECIALIDAD EN TRIBUTACION </v>
      </c>
      <c r="D390" s="139"/>
    </row>
    <row r="391" spans="2:4" s="124" customFormat="1" ht="27" customHeight="1" x14ac:dyDescent="0.2">
      <c r="B391" s="132">
        <v>113</v>
      </c>
      <c r="C391" s="133" t="str">
        <f>RESPUESTAS!BF119</f>
        <v xml:space="preserve">en todo los temas seria bueno </v>
      </c>
      <c r="D391" s="139"/>
    </row>
    <row r="392" spans="2:4" s="124" customFormat="1" ht="27" customHeight="1" x14ac:dyDescent="0.2">
      <c r="B392" s="132">
        <v>114</v>
      </c>
      <c r="C392" s="133" t="str">
        <f>RESPUESTAS!BF120</f>
        <v xml:space="preserve">Importación </v>
      </c>
      <c r="D392" s="139"/>
    </row>
    <row r="393" spans="2:4" s="124" customFormat="1" ht="27" customHeight="1" x14ac:dyDescent="0.2">
      <c r="B393" s="132">
        <v>115</v>
      </c>
      <c r="C393" s="133" t="str">
        <f>RESPUESTAS!BF121</f>
        <v>CAPACITACIONES EN SAP , MAESTRIA EN TEMAS FINANCIEROS O CONTABLES QUE APOYEN AL AVANCE DE LA EMPRESA.</v>
      </c>
      <c r="D393" s="139"/>
    </row>
    <row r="394" spans="2:4" s="124" customFormat="1" ht="27" customHeight="1" x14ac:dyDescent="0.2">
      <c r="B394" s="132">
        <v>116</v>
      </c>
      <c r="C394" s="133" t="str">
        <f>RESPUESTAS!BF122</f>
        <v>Procedimientos aduaneros y normativas legales aduaneras por personas especializadas que les guste impartir enseñanza y conocimiento.</v>
      </c>
      <c r="D394" s="139"/>
    </row>
    <row r="395" spans="2:4" s="124" customFormat="1" ht="27" customHeight="1" x14ac:dyDescent="0.2">
      <c r="B395" s="132">
        <v>117</v>
      </c>
      <c r="C395" s="133" t="str">
        <f>RESPUESTAS!BF123</f>
        <v xml:space="preserve">ESPECIALIZACIÓN A FINES </v>
      </c>
      <c r="D395" s="139"/>
    </row>
    <row r="396" spans="2:4" s="124" customFormat="1" ht="27" customHeight="1" x14ac:dyDescent="0.2">
      <c r="B396" s="132">
        <v>118</v>
      </c>
      <c r="C396" s="133" t="str">
        <f>RESPUESTAS!BF124</f>
        <v>TRIBUTACION</v>
      </c>
      <c r="D396" s="139"/>
    </row>
    <row r="397" spans="2:4" s="124" customFormat="1" ht="27" customHeight="1" x14ac:dyDescent="0.2">
      <c r="B397" s="132">
        <v>119</v>
      </c>
      <c r="C397" s="133" t="str">
        <f>RESPUESTAS!BF125</f>
        <v xml:space="preserve">En temas logísticos. </v>
      </c>
      <c r="D397" s="139"/>
    </row>
    <row r="398" spans="2:4" s="124" customFormat="1" ht="27" customHeight="1" x14ac:dyDescent="0.2">
      <c r="B398" s="132">
        <v>120</v>
      </c>
      <c r="C398" s="133" t="str">
        <f>RESPUESTAS!BF126</f>
        <v>Costos</v>
      </c>
      <c r="D398" s="139"/>
    </row>
    <row r="399" spans="2:4" s="124" customFormat="1" ht="27" customHeight="1" x14ac:dyDescent="0.2">
      <c r="B399" s="132">
        <v>121</v>
      </c>
      <c r="C399" s="133" t="str">
        <f>RESPUESTAS!BF127</f>
        <v>En el area de exportaciones e importaciones</v>
      </c>
      <c r="D399" s="139"/>
    </row>
    <row r="400" spans="2:4" s="124" customFormat="1" ht="27" customHeight="1" x14ac:dyDescent="0.2">
      <c r="B400" s="132">
        <v>122</v>
      </c>
      <c r="C400" s="133" t="str">
        <f>RESPUESTAS!BF128</f>
        <v>LEGISLACION ADUANERA</v>
      </c>
      <c r="D400" s="139"/>
    </row>
    <row r="401" spans="2:4" s="124" customFormat="1" ht="27" customHeight="1" x14ac:dyDescent="0.2">
      <c r="B401" s="132">
        <v>123</v>
      </c>
      <c r="C401" s="133" t="str">
        <f>RESPUESTAS!BF129</f>
        <v>gestión del tiempo, resolución de conflictos</v>
      </c>
      <c r="D401" s="139"/>
    </row>
    <row r="402" spans="2:4" s="124" customFormat="1" ht="27" customHeight="1" x14ac:dyDescent="0.2">
      <c r="B402" s="132">
        <v>124</v>
      </c>
      <c r="C402" s="133" t="str">
        <f>RESPUESTAS!BF130</f>
        <v xml:space="preserve">PROCESOS OPERATIVOS </v>
      </c>
      <c r="D402" s="139"/>
    </row>
    <row r="403" spans="2:4" s="124" customFormat="1" ht="27" customHeight="1" x14ac:dyDescent="0.2">
      <c r="B403" s="132">
        <v>125</v>
      </c>
      <c r="C403" s="133" t="str">
        <f>RESPUESTAS!BF131</f>
        <v xml:space="preserve">Administración, Tributación. </v>
      </c>
      <c r="D403" s="139"/>
    </row>
    <row r="404" spans="2:4" s="124" customFormat="1" ht="27" customHeight="1" x14ac:dyDescent="0.2">
      <c r="B404" s="132">
        <v>126</v>
      </c>
      <c r="C404" s="133" t="str">
        <f>RESPUESTAS!BF132</f>
        <v>En temas de actualizaciones sobre incoterms e importaciones, etc</v>
      </c>
      <c r="D404" s="139"/>
    </row>
    <row r="405" spans="2:4" s="124" customFormat="1" ht="27" customHeight="1" x14ac:dyDescent="0.2">
      <c r="B405" s="132">
        <v>127</v>
      </c>
      <c r="C405" s="133" t="str">
        <f>RESPUESTAS!BF133</f>
        <v xml:space="preserve">En numerar otras áreas </v>
      </c>
      <c r="D405" s="139"/>
    </row>
    <row r="406" spans="2:4" s="124" customFormat="1" ht="27" customHeight="1" x14ac:dyDescent="0.2">
      <c r="B406" s="132">
        <v>128</v>
      </c>
      <c r="C406" s="133" t="str">
        <f>RESPUESTAS!BF134</f>
        <v>Especialización en gestión de expresas o similares</v>
      </c>
      <c r="D406" s="139"/>
    </row>
    <row r="407" spans="2:4" s="124" customFormat="1" ht="27" customHeight="1" x14ac:dyDescent="0.2">
      <c r="B407" s="132">
        <v>129</v>
      </c>
      <c r="C407" s="133" t="str">
        <f>RESPUESTAS!BF135</f>
        <v>Recursos humanos</v>
      </c>
      <c r="D407" s="139"/>
    </row>
    <row r="408" spans="2:4" s="124" customFormat="1" ht="27" customHeight="1" x14ac:dyDescent="0.2">
      <c r="B408" s="132">
        <v>130</v>
      </c>
      <c r="C408" s="133" t="str">
        <f>RESPUESTAS!BF136</f>
        <v>Aduanas</v>
      </c>
      <c r="D408" s="139"/>
    </row>
    <row r="409" spans="2:4" s="124" customFormat="1" ht="27" customHeight="1" x14ac:dyDescent="0.2">
      <c r="B409" s="136"/>
      <c r="C409" s="140"/>
      <c r="D409" s="139"/>
    </row>
    <row r="410" spans="2:4" ht="24" customHeight="1" x14ac:dyDescent="0.2">
      <c r="B410" s="130" t="s">
        <v>108</v>
      </c>
      <c r="C410" s="141"/>
      <c r="D410" s="142"/>
    </row>
    <row r="411" spans="2:4" ht="27" customHeight="1" x14ac:dyDescent="0.2">
      <c r="B411" s="132">
        <v>1</v>
      </c>
      <c r="C411" s="133" t="str">
        <f>RESPUESTAS!BG7</f>
        <v>llevo  4 años en la agencia con el mismo sueldo , subirme el sueldo</v>
      </c>
      <c r="D411" s="138"/>
    </row>
    <row r="412" spans="2:4" ht="27" customHeight="1" x14ac:dyDescent="0.2">
      <c r="B412" s="132">
        <v>2</v>
      </c>
      <c r="C412" s="133" t="str">
        <f>RESPUESTAS!BG8</f>
        <v>.</v>
      </c>
      <c r="D412" s="138"/>
    </row>
    <row r="413" spans="2:4" ht="27" customHeight="1" x14ac:dyDescent="0.2">
      <c r="B413" s="132">
        <v>3</v>
      </c>
      <c r="C413" s="133" t="str">
        <f>RESPUESTAS!BG9</f>
        <v>para estar más motivado, creo que sería importante sentir que mi esfuerzo es reconocido y valorado. También un ambiente de trabajo positivo, donde haya buena comunicación y respeto, hace una gran diferencia. Y, por supuesto, un pago justo que refleje el trabajo que realizo sería un factor clave para seguir dando lo mejor de mí.</v>
      </c>
      <c r="D413" s="138"/>
    </row>
    <row r="414" spans="2:4" ht="27" customHeight="1" x14ac:dyDescent="0.2">
      <c r="B414" s="132">
        <v>4</v>
      </c>
      <c r="C414" s="133" t="str">
        <f>RESPUESTAS!BG10</f>
        <v>viernes de casual de chela, donde la empresa invite una chela a los colaboradores, o mas afther office como los que hicieron en salaverry.</v>
      </c>
      <c r="D414" s="138"/>
    </row>
    <row r="415" spans="2:4" ht="14.25" x14ac:dyDescent="0.2">
      <c r="B415" s="132">
        <v>5</v>
      </c>
      <c r="C415" s="133" t="str">
        <f>RESPUESTAS!BG11</f>
        <v xml:space="preserve">Bonos </v>
      </c>
      <c r="D415" s="138"/>
    </row>
    <row r="416" spans="2:4" ht="27" customHeight="1" x14ac:dyDescent="0.2">
      <c r="B416" s="132">
        <v>6</v>
      </c>
      <c r="C416" s="133" t="str">
        <f>RESPUESTAS!BG12</f>
        <v>MEJORAR REMUNERACION DE ACORDE AL MERCADO Y CUMPLIR CON LOS HORARIOS LABORALES Y DE HABER ALGUNA EMERGENCIA QUE REQUIERE CONECTARSE FUERA DEL HORARIO LABORAL DEBERIA HABER PAGO POR HORAS EXTRAS</v>
      </c>
      <c r="D416" s="138"/>
    </row>
    <row r="417" spans="2:4" ht="27" customHeight="1" x14ac:dyDescent="0.2">
      <c r="B417" s="132">
        <v>7</v>
      </c>
      <c r="C417" s="133" t="str">
        <f>RESPUESTAS!BG13</f>
        <v>Apoyo en el turno</v>
      </c>
      <c r="D417" s="138"/>
    </row>
    <row r="418" spans="2:4" ht="27" customHeight="1" x14ac:dyDescent="0.2">
      <c r="B418" s="132">
        <v>8</v>
      </c>
      <c r="C418" s="133" t="str">
        <f>RESPUESTAS!BG14</f>
        <v>UNA MEJORA SALARIAL Y BENEFICIOS COMO BONOS SODEXO Y DESCUENTOS EN ESTABLECIMIENTOS</v>
      </c>
      <c r="D418" s="138"/>
    </row>
    <row r="419" spans="2:4" ht="27" customHeight="1" x14ac:dyDescent="0.2">
      <c r="B419" s="132">
        <v>9</v>
      </c>
      <c r="C419" s="133" t="str">
        <f>RESPUESTAS!BG15</f>
        <v>Beneficios</v>
      </c>
      <c r="D419" s="138"/>
    </row>
    <row r="420" spans="2:4" ht="27" customHeight="1" x14ac:dyDescent="0.2">
      <c r="B420" s="132">
        <v>10</v>
      </c>
      <c r="C420" s="133" t="str">
        <f>RESPUESTAS!BG16</f>
        <v>Que si el personal labora mas horas sean pagadas de acuerdo a ley, que haya actividades externas para fomentar la integración entre compañeros y si hay algún inconveniente u observación al personal sea investigado a fondo a fin de que a todos se les haga cumplir con multas o sanciones equitativamente.</v>
      </c>
      <c r="D420" s="138"/>
    </row>
    <row r="421" spans="2:4" ht="27" customHeight="1" x14ac:dyDescent="0.2">
      <c r="B421" s="132">
        <v>11</v>
      </c>
      <c r="C421" s="133" t="str">
        <f>RESPUESTAS!BG17</f>
        <v xml:space="preserve">RECONOCIMIENTO </v>
      </c>
      <c r="D421" s="138"/>
    </row>
    <row r="422" spans="2:4" ht="27" customHeight="1" x14ac:dyDescent="0.2">
      <c r="B422" s="132">
        <v>12</v>
      </c>
      <c r="C422" s="133" t="str">
        <f>RESPUESTAS!BG18</f>
        <v>Descansos respectivos por acumulación de HHEE, si en caso no es remunerado.</v>
      </c>
      <c r="D422" s="138"/>
    </row>
    <row r="423" spans="2:4" ht="14.25" x14ac:dyDescent="0.2">
      <c r="B423" s="132">
        <v>13</v>
      </c>
      <c r="C423" s="133" t="str">
        <f>RESPUESTAS!BG19</f>
        <v>Reconocer logros, por pequeños que sean , rrecompensas.</v>
      </c>
      <c r="D423" s="138"/>
    </row>
    <row r="424" spans="2:4" ht="27" customHeight="1" x14ac:dyDescent="0.2">
      <c r="B424" s="132">
        <v>14</v>
      </c>
      <c r="C424" s="133" t="str">
        <f>RESPUESTAS!BG20</f>
        <v>POR EL MOMENTO TODO ESTA BIEN</v>
      </c>
      <c r="D424" s="138"/>
    </row>
    <row r="425" spans="2:4" ht="27" customHeight="1" x14ac:dyDescent="0.2">
      <c r="B425" s="132">
        <v>15</v>
      </c>
      <c r="C425" s="133" t="str">
        <f>RESPUESTAS!BG21</f>
        <v>Hacer reuniones donde nos tomen en cuenta y ser justos en la yoma de decisisones</v>
      </c>
      <c r="D425" s="138"/>
    </row>
    <row r="426" spans="2:4" ht="27" customHeight="1" x14ac:dyDescent="0.2">
      <c r="B426" s="132">
        <v>16</v>
      </c>
      <c r="C426" s="133" t="str">
        <f>RESPUESTAS!BG22</f>
        <v xml:space="preserve">CONSIDERARNOS POR EL TRABAJO QUE HACEMOS POR LA EMPRESA Y NO METIR WUE SE NOS DARAN INCENTIVOS Y LUEGO NO NOS DAN </v>
      </c>
      <c r="D426" s="138"/>
    </row>
    <row r="427" spans="2:4" ht="27" customHeight="1" x14ac:dyDescent="0.2">
      <c r="B427" s="132">
        <v>17</v>
      </c>
      <c r="C427" s="133" t="str">
        <f>RESPUESTAS!BG23</f>
        <v>Trabajar con la remuneración justa.</v>
      </c>
      <c r="D427" s="138"/>
    </row>
    <row r="428" spans="2:4" ht="27" customHeight="1" x14ac:dyDescent="0.2">
      <c r="B428" s="132">
        <v>18</v>
      </c>
      <c r="C428" s="133" t="str">
        <f>RESPUESTAS!BG24</f>
        <v>Mejor sueldo :)</v>
      </c>
      <c r="D428" s="138"/>
    </row>
    <row r="429" spans="2:4" ht="27" customHeight="1" x14ac:dyDescent="0.2">
      <c r="B429" s="132">
        <v>19</v>
      </c>
      <c r="C429" s="133" t="str">
        <f>RESPUESTAS!BG25</f>
        <v>algun beneficio o bono</v>
      </c>
      <c r="D429" s="138"/>
    </row>
    <row r="430" spans="2:4" ht="14.25" x14ac:dyDescent="0.2">
      <c r="B430" s="132">
        <v>20</v>
      </c>
      <c r="C430" s="133" t="str">
        <f>RESPUESTAS!BG26</f>
        <v>remuneracion y falta de reconocimiento de trabajo y mejorias personales</v>
      </c>
      <c r="D430" s="138"/>
    </row>
    <row r="431" spans="2:4" ht="27" customHeight="1" x14ac:dyDescent="0.2">
      <c r="B431" s="132">
        <v>21</v>
      </c>
      <c r="C431" s="133" t="str">
        <f>RESPUESTAS!BG27</f>
        <v>UN DIA DE INTEGRACIÓN CON MIS COMPAÑEROS DE ÁREA</v>
      </c>
      <c r="D431" s="138"/>
    </row>
    <row r="432" spans="2:4" ht="27" customHeight="1" x14ac:dyDescent="0.2">
      <c r="B432" s="132">
        <v>22</v>
      </c>
      <c r="C432" s="133" t="str">
        <f>RESPUESTAS!BG28</f>
        <v>DAR INCENTIVO MONETARIO POR AREA</v>
      </c>
      <c r="D432" s="138"/>
    </row>
    <row r="433" spans="2:4" ht="27" customHeight="1" x14ac:dyDescent="0.2">
      <c r="B433" s="132">
        <v>23</v>
      </c>
      <c r="C433" s="133" t="str">
        <f>RESPUESTAS!BG29</f>
        <v>insentivos , bonos</v>
      </c>
      <c r="D433" s="138"/>
    </row>
    <row r="434" spans="2:4" ht="27" customHeight="1" x14ac:dyDescent="0.2">
      <c r="B434" s="132">
        <v>24</v>
      </c>
      <c r="C434" s="133" t="str">
        <f>RESPUESTAS!BG30</f>
        <v xml:space="preserve">Aumento de sueldo y reconocimientos por desempeñar bien el trabajo </v>
      </c>
      <c r="D434" s="138"/>
    </row>
    <row r="435" spans="2:4" ht="27" customHeight="1" x14ac:dyDescent="0.2">
      <c r="B435" s="132">
        <v>25</v>
      </c>
      <c r="C435" s="133" t="str">
        <f>RESPUESTAS!BG31</f>
        <v xml:space="preserve">QUE SE LE INCENTIVE AL PERSONAL Y JUSTOS CON LOS SALARIOS </v>
      </c>
      <c r="D435" s="138"/>
    </row>
    <row r="436" spans="2:4" ht="27" customHeight="1" x14ac:dyDescent="0.2">
      <c r="B436" s="132">
        <v>26</v>
      </c>
      <c r="C436" s="133" t="str">
        <f>RESPUESTAS!BG32</f>
        <v>Tener un sueldo acorde al trabajo y esfuerzo que se hace.</v>
      </c>
      <c r="D436" s="138"/>
    </row>
    <row r="437" spans="2:4" ht="27" customHeight="1" x14ac:dyDescent="0.2">
      <c r="B437" s="132">
        <v>27</v>
      </c>
      <c r="C437" s="133" t="str">
        <f>RESPUESTAS!BG33</f>
        <v>-</v>
      </c>
      <c r="D437" s="138"/>
    </row>
    <row r="438" spans="2:4" ht="27" customHeight="1" x14ac:dyDescent="0.2">
      <c r="B438" s="132">
        <v>28</v>
      </c>
      <c r="C438" s="133" t="str">
        <f>RESPUESTAS!BG34</f>
        <v>BENEFICIOS REMUNERATIVOS O NO REMUNERATIVOS</v>
      </c>
      <c r="D438" s="138"/>
    </row>
    <row r="439" spans="2:4" ht="27" customHeight="1" x14ac:dyDescent="0.2">
      <c r="B439" s="132">
        <v>29</v>
      </c>
      <c r="C439" s="133" t="str">
        <f>RESPUESTAS!BG35</f>
        <v>CHARLAS DE 05 MINUTOS DONDE NOS DIGAN LOS RIESGOS Y PREVENCIONES DE NUESTRO TRABAJO</v>
      </c>
      <c r="D439" s="138"/>
    </row>
    <row r="440" spans="2:4" ht="27" customHeight="1" x14ac:dyDescent="0.2">
      <c r="B440" s="132">
        <v>30</v>
      </c>
      <c r="C440" s="133" t="str">
        <f>RESPUESTAS!BG36</f>
        <v>-</v>
      </c>
      <c r="D440" s="138"/>
    </row>
    <row r="441" spans="2:4" ht="27" customHeight="1" x14ac:dyDescent="0.2">
      <c r="B441" s="132">
        <v>31</v>
      </c>
      <c r="C441" s="133" t="str">
        <f>RESPUESTAS!BG37</f>
        <v>CAPACITACIONES DINAMICAS , UN TIEMPO PARA PODER COMPARTIR Y DESESTRESARSE</v>
      </c>
      <c r="D441" s="138"/>
    </row>
    <row r="442" spans="2:4" ht="27" customHeight="1" x14ac:dyDescent="0.2">
      <c r="B442" s="132">
        <v>32</v>
      </c>
      <c r="C442" s="133" t="str">
        <f>RESPUESTAS!BG38</f>
        <v>----</v>
      </c>
      <c r="D442" s="138"/>
    </row>
    <row r="443" spans="2:4" ht="27" customHeight="1" x14ac:dyDescent="0.2">
      <c r="B443" s="132">
        <v>33</v>
      </c>
      <c r="C443" s="133" t="str">
        <f>RESPUESTAS!BG39</f>
        <v xml:space="preserve">horarios mas flexibles </v>
      </c>
      <c r="D443" s="138"/>
    </row>
    <row r="444" spans="2:4" ht="27" customHeight="1" x14ac:dyDescent="0.2">
      <c r="B444" s="132">
        <v>34</v>
      </c>
      <c r="C444" s="133" t="str">
        <f>RESPUESTAS!BG40</f>
        <v>Equidad de sueldos</v>
      </c>
      <c r="D444" s="138"/>
    </row>
    <row r="445" spans="2:4" ht="27" customHeight="1" x14ac:dyDescent="0.2">
      <c r="B445" s="132">
        <v>35</v>
      </c>
      <c r="C445" s="133" t="str">
        <f>RESPUESTAS!BG41</f>
        <v>ESTABILIDAD LABORAL Y REMUNERACIÓN ACORDE AL TRABAJO</v>
      </c>
      <c r="D445" s="138"/>
    </row>
    <row r="446" spans="2:4" ht="27" customHeight="1" x14ac:dyDescent="0.2">
      <c r="B446" s="132">
        <v>36</v>
      </c>
      <c r="C446" s="133" t="str">
        <f>RESPUESTAS!BG42</f>
        <v>REMUNERACION JUSTA  Y ACTIVIDADES INTEGRADORAS</v>
      </c>
      <c r="D446" s="138"/>
    </row>
    <row r="447" spans="2:4" ht="27" customHeight="1" x14ac:dyDescent="0.2">
      <c r="B447" s="132">
        <v>37</v>
      </c>
      <c r="C447" s="133" t="str">
        <f>RESPUESTAS!BG43</f>
        <v>reconocimientos o incentivos por nuestro trabajo</v>
      </c>
      <c r="D447" s="138"/>
    </row>
    <row r="448" spans="2:4" ht="27" customHeight="1" x14ac:dyDescent="0.2">
      <c r="B448" s="132">
        <v>38</v>
      </c>
      <c r="C448" s="133" t="str">
        <f>RESPUESTAS!BG44</f>
        <v xml:space="preserve">RECONOCIMIENTO LABORAL </v>
      </c>
      <c r="D448" s="138"/>
    </row>
    <row r="449" spans="2:4" ht="27" customHeight="1" x14ac:dyDescent="0.2">
      <c r="B449" s="132">
        <v>39</v>
      </c>
      <c r="C449" s="133" t="str">
        <f>RESPUESTAS!BG45</f>
        <v>.</v>
      </c>
      <c r="D449" s="138"/>
    </row>
    <row r="450" spans="2:4" ht="27" customHeight="1" x14ac:dyDescent="0.2">
      <c r="B450" s="132">
        <v>40</v>
      </c>
      <c r="C450" s="133" t="str">
        <f>RESPUESTAS!BG46</f>
        <v>-</v>
      </c>
      <c r="D450" s="138"/>
    </row>
    <row r="451" spans="2:4" ht="27" customHeight="1" x14ac:dyDescent="0.2">
      <c r="B451" s="132">
        <v>41</v>
      </c>
      <c r="C451" s="133" t="str">
        <f>RESPUESTAS!BG47</f>
        <v>NADA</v>
      </c>
      <c r="D451" s="138"/>
    </row>
    <row r="452" spans="2:4" ht="27" customHeight="1" x14ac:dyDescent="0.2">
      <c r="B452" s="132">
        <v>42</v>
      </c>
      <c r="C452" s="133" t="str">
        <f>RESPUESTAS!BG48</f>
        <v>Charlas</v>
      </c>
      <c r="D452" s="138"/>
    </row>
    <row r="453" spans="2:4" ht="27" customHeight="1" x14ac:dyDescent="0.2">
      <c r="B453" s="132">
        <v>43</v>
      </c>
      <c r="C453" s="133" t="str">
        <f>RESPUESTAS!BG49</f>
        <v>INTEGRACION CON EL PERSONAL DE OTRAS AREAS</v>
      </c>
      <c r="D453" s="138"/>
    </row>
    <row r="454" spans="2:4" ht="27" customHeight="1" x14ac:dyDescent="0.2">
      <c r="B454" s="132">
        <v>44</v>
      </c>
      <c r="C454" s="133" t="str">
        <f>RESPUESTAS!BG50</f>
        <v>SUBIRME EL SUELDO, QUE HACE MAS DE 3 AÑOS NO ME HAN AUMENTADO</v>
      </c>
      <c r="D454" s="138"/>
    </row>
    <row r="455" spans="2:4" ht="27" customHeight="1" x14ac:dyDescent="0.2">
      <c r="B455" s="132">
        <v>45</v>
      </c>
      <c r="C455" s="133" t="str">
        <f>RESPUESTAS!BG51</f>
        <v>mas integraciones</v>
      </c>
      <c r="D455" s="138"/>
    </row>
    <row r="456" spans="2:4" ht="27" customHeight="1" x14ac:dyDescent="0.2">
      <c r="B456" s="132">
        <v>46</v>
      </c>
      <c r="C456" s="133" t="str">
        <f>RESPUESTAS!BG52</f>
        <v xml:space="preserve">Incentivar al trabajador </v>
      </c>
      <c r="D456" s="138"/>
    </row>
    <row r="457" spans="2:4" ht="27" customHeight="1" x14ac:dyDescent="0.2">
      <c r="B457" s="132">
        <v>47</v>
      </c>
      <c r="C457" s="133" t="str">
        <f>RESPUESTAS!BG53</f>
        <v>Reconocimientos</v>
      </c>
      <c r="D457" s="138"/>
    </row>
    <row r="458" spans="2:4" ht="27" customHeight="1" x14ac:dyDescent="0.2">
      <c r="B458" s="132">
        <v>48</v>
      </c>
      <c r="C458" s="133" t="str">
        <f>RESPUESTAS!BG54</f>
        <v>Hacer un Feedback de cada personal por parte del jefe inmediato, con el fin de ver potencial en los colaboradores y ser retribuidos.</v>
      </c>
      <c r="D458" s="138"/>
    </row>
    <row r="459" spans="2:4" ht="27" customHeight="1" x14ac:dyDescent="0.2">
      <c r="B459" s="132">
        <v>49</v>
      </c>
      <c r="C459" s="133" t="str">
        <f>RESPUESTAS!BG55</f>
        <v>Beneficicios remunerados, según área.</v>
      </c>
      <c r="D459" s="138"/>
    </row>
    <row r="460" spans="2:4" ht="27" customHeight="1" x14ac:dyDescent="0.2">
      <c r="B460" s="132">
        <v>50</v>
      </c>
      <c r="C460" s="133" t="str">
        <f>RESPUESTAS!BG56</f>
        <v xml:space="preserve">Un reconocimiento justo y equitativo para todos. </v>
      </c>
      <c r="D460" s="138"/>
    </row>
    <row r="461" spans="2:4" ht="27" customHeight="1" x14ac:dyDescent="0.2">
      <c r="B461" s="132">
        <v>51</v>
      </c>
      <c r="C461" s="133" t="str">
        <f>RESPUESTAS!BG57</f>
        <v>Establecer metas claras y alcanzables que conecte al trabajo direccionados a los objetivos de la Empresa y que estos sean remunerados.</v>
      </c>
      <c r="D461" s="138"/>
    </row>
    <row r="462" spans="2:4" ht="27" customHeight="1" x14ac:dyDescent="0.2">
      <c r="B462" s="132">
        <v>52</v>
      </c>
      <c r="C462" s="133" t="str">
        <f>RESPUESTAS!BG58</f>
        <v>Motivación diaria. Palabras de Aliento.</v>
      </c>
      <c r="D462" s="138"/>
    </row>
    <row r="463" spans="2:4" ht="27" customHeight="1" x14ac:dyDescent="0.2">
      <c r="B463" s="132">
        <v>53</v>
      </c>
      <c r="C463" s="133" t="str">
        <f>RESPUESTAS!BG59</f>
        <v>BONOS</v>
      </c>
      <c r="D463" s="138"/>
    </row>
    <row r="464" spans="2:4" ht="27" customHeight="1" x14ac:dyDescent="0.2">
      <c r="B464" s="132">
        <v>54</v>
      </c>
      <c r="C464" s="133" t="str">
        <f>RESPUESTAS!BG60</f>
        <v>Obtener un buen ambiente laboral</v>
      </c>
      <c r="D464" s="138"/>
    </row>
    <row r="465" spans="2:4" ht="27" customHeight="1" x14ac:dyDescent="0.2">
      <c r="B465" s="132">
        <v>55</v>
      </c>
      <c r="C465" s="133" t="str">
        <f>RESPUESTAS!BG61</f>
        <v>Confraternizar mas con las demás areas ( eventos deportivos o culturales) , charlas y capacitaciones.</v>
      </c>
      <c r="D465" s="138"/>
    </row>
    <row r="466" spans="2:4" ht="27" customHeight="1" x14ac:dyDescent="0.2">
      <c r="B466" s="132">
        <v>56</v>
      </c>
      <c r="C466" s="133" t="str">
        <f>RESPUESTAS!BG62</f>
        <v>En u caso en particular, un aumento de sueldo, que compense y reconozca el trabajo y el horario que realizo.</v>
      </c>
      <c r="D466" s="138"/>
    </row>
    <row r="467" spans="2:4" ht="27" customHeight="1" x14ac:dyDescent="0.2">
      <c r="B467" s="132">
        <v>57</v>
      </c>
      <c r="C467" s="133" t="str">
        <f>RESPUESTAS!BG63</f>
        <v xml:space="preserve">Más capacitaciones </v>
      </c>
      <c r="D467" s="138"/>
    </row>
    <row r="468" spans="2:4" ht="14.25" x14ac:dyDescent="0.2">
      <c r="B468" s="132">
        <v>58</v>
      </c>
      <c r="C468" s="133" t="str">
        <f>RESPUESTAS!BG64</f>
        <v>Mayor resplado por parte de la gerencia en general.</v>
      </c>
      <c r="D468" s="138"/>
    </row>
    <row r="469" spans="2:4" ht="27" customHeight="1" x14ac:dyDescent="0.2">
      <c r="B469" s="132">
        <v>59</v>
      </c>
      <c r="C469" s="133" t="str">
        <f>RESPUESTAS!BG65</f>
        <v>Brindar estabilidad laboral</v>
      </c>
      <c r="D469" s="138"/>
    </row>
    <row r="470" spans="2:4" ht="27" customHeight="1" x14ac:dyDescent="0.2">
      <c r="B470" s="132">
        <v>60</v>
      </c>
      <c r="C470" s="133" t="str">
        <f>RESPUESTAS!BG66</f>
        <v>dar un incentivo por ser el trabajador del mes por tu conocimiento y tu esfuerzo  en tu area</v>
      </c>
      <c r="D470" s="138"/>
    </row>
    <row r="471" spans="2:4" ht="27" customHeight="1" x14ac:dyDescent="0.2">
      <c r="B471" s="132">
        <v>61</v>
      </c>
      <c r="C471" s="133" t="str">
        <f>RESPUESTAS!BG67</f>
        <v xml:space="preserve">reconocimientos </v>
      </c>
      <c r="D471" s="138"/>
    </row>
    <row r="472" spans="2:4" ht="27" customHeight="1" x14ac:dyDescent="0.2">
      <c r="B472" s="132">
        <v>62</v>
      </c>
      <c r="C472" s="133" t="str">
        <f>RESPUESTAS!BG68</f>
        <v>Fomentar una ambiente laboral positivo, reconocer los logros, y ofrecer oportunidades que nos permitan desarrollarnos profesionalmente.</v>
      </c>
      <c r="D472" s="138"/>
    </row>
    <row r="473" spans="2:4" ht="27" customHeight="1" x14ac:dyDescent="0.2">
      <c r="B473" s="132">
        <v>63</v>
      </c>
      <c r="C473" s="133" t="str">
        <f>RESPUESTAS!BG69</f>
        <v>.</v>
      </c>
      <c r="D473" s="138"/>
    </row>
    <row r="474" spans="2:4" ht="27" customHeight="1" x14ac:dyDescent="0.2">
      <c r="B474" s="132">
        <v>64</v>
      </c>
      <c r="C474" s="133" t="str">
        <f>RESPUESTAS!BG70</f>
        <v>------</v>
      </c>
      <c r="D474" s="138"/>
    </row>
    <row r="475" spans="2:4" ht="27" customHeight="1" x14ac:dyDescent="0.2">
      <c r="B475" s="132">
        <v>65</v>
      </c>
      <c r="C475" s="133" t="str">
        <f>RESPUESTAS!BG71</f>
        <v xml:space="preserve">Igualdad </v>
      </c>
      <c r="D475" s="138"/>
    </row>
    <row r="476" spans="2:4" ht="27" customHeight="1" x14ac:dyDescent="0.2">
      <c r="B476" s="132">
        <v>66</v>
      </c>
      <c r="C476" s="133" t="str">
        <f>RESPUESTAS!BG72</f>
        <v xml:space="preserve">Que la remuneracion este acorde al costo de vida y los aumentos sean cada cierto tiempo no estar con el mismo sueldo tanto tiempo </v>
      </c>
      <c r="D476" s="138"/>
    </row>
    <row r="477" spans="2:4" ht="27" customHeight="1" x14ac:dyDescent="0.2">
      <c r="B477" s="132">
        <v>67</v>
      </c>
      <c r="C477" s="133" t="str">
        <f>RESPUESTAS!BG73</f>
        <v>Un aumento de sueldo nunca está de más jajaja, pero por lo pronto, con que me permitan colaborar con otras áreas de la empresa para que yo pueda conocer más sobre los procesos aduaneros y tener la certeza de una oportunidad de crecimiento estaría más que motivada.</v>
      </c>
      <c r="D477" s="138"/>
    </row>
    <row r="478" spans="2:4" ht="27" customHeight="1" x14ac:dyDescent="0.2">
      <c r="B478" s="132">
        <v>68</v>
      </c>
      <c r="C478" s="133" t="str">
        <f>RESPUESTAS!BG74</f>
        <v>Estar mejor remunerado, ya que nuestros horarios son rotativos :)</v>
      </c>
      <c r="D478" s="138"/>
    </row>
    <row r="479" spans="2:4" ht="27" customHeight="1" x14ac:dyDescent="0.2">
      <c r="B479" s="132">
        <v>69</v>
      </c>
      <c r="C479" s="133" t="str">
        <f>RESPUESTAS!BG75</f>
        <v>Aumentar un poco más el sueldo y la renovacion de contratos no sean por poco tiempo, ya que genera una incertidumbre y un poco de tension porque no se sabe si renovarán aun asi ya pasado el año de trabajo, debería extenderse mas el contrato para brindar un poco de seguridad al personal y no estar pensando que deba ir buscando otro empleo porque no se sabe si le renovarán.</v>
      </c>
      <c r="D479" s="138"/>
    </row>
    <row r="480" spans="2:4" ht="27" customHeight="1" x14ac:dyDescent="0.2">
      <c r="B480" s="132">
        <v>70</v>
      </c>
      <c r="C480" s="133" t="str">
        <f>RESPUESTAS!BG76</f>
        <v>.</v>
      </c>
      <c r="D480" s="138"/>
    </row>
    <row r="481" spans="2:4" ht="27" customHeight="1" x14ac:dyDescent="0.2">
      <c r="B481" s="132">
        <v>71</v>
      </c>
      <c r="C481" s="133" t="str">
        <f>RESPUESTAS!BG77</f>
        <v xml:space="preserve">Aumentar el sueldo. </v>
      </c>
      <c r="D481" s="138"/>
    </row>
    <row r="482" spans="2:4" ht="27" customHeight="1" x14ac:dyDescent="0.2">
      <c r="B482" s="132">
        <v>72</v>
      </c>
      <c r="C482" s="133" t="str">
        <f>RESPUESTAS!BG78</f>
        <v>mejorar el tema salarial, tiempos de contrato y oportunidades de crecimiento.</v>
      </c>
      <c r="D482" s="138"/>
    </row>
    <row r="483" spans="2:4" ht="27" customHeight="1" x14ac:dyDescent="0.2">
      <c r="B483" s="132">
        <v>73</v>
      </c>
      <c r="C483" s="133" t="str">
        <f>RESPUESTAS!BG79</f>
        <v>Subir el sueldo de acuerdo a lo que dicta el mercado, después de pandemia todo a subido y no alcanza</v>
      </c>
      <c r="D483" s="138"/>
    </row>
    <row r="484" spans="2:4" ht="27" customHeight="1" x14ac:dyDescent="0.2">
      <c r="B484" s="132">
        <v>74</v>
      </c>
      <c r="C484" s="133" t="str">
        <f>RESPUESTAS!BG80</f>
        <v>Mejorar el ambiente laboral y mejorar de salario e incentivos.</v>
      </c>
      <c r="D484" s="138"/>
    </row>
    <row r="485" spans="2:4" ht="27" customHeight="1" x14ac:dyDescent="0.2">
      <c r="B485" s="132">
        <v>75</v>
      </c>
      <c r="C485" s="133" t="str">
        <f>RESPUESTAS!BG81</f>
        <v>Equidad salarial</v>
      </c>
      <c r="D485" s="138"/>
    </row>
    <row r="486" spans="2:4" ht="27" customHeight="1" x14ac:dyDescent="0.2">
      <c r="B486" s="132">
        <v>76</v>
      </c>
      <c r="C486" s="133" t="str">
        <f>RESPUESTAS!BG82</f>
        <v>Bonificacion depende del volumen de trabajo</v>
      </c>
      <c r="D486" s="138"/>
    </row>
    <row r="487" spans="2:4" ht="27" customHeight="1" x14ac:dyDescent="0.2">
      <c r="B487" s="132">
        <v>77</v>
      </c>
      <c r="C487" s="133" t="str">
        <f>RESPUESTAS!BG83</f>
        <v>Subir el sueldo.</v>
      </c>
      <c r="D487" s="138"/>
    </row>
    <row r="488" spans="2:4" ht="27" customHeight="1" x14ac:dyDescent="0.2">
      <c r="B488" s="132">
        <v>78</v>
      </c>
      <c r="C488" s="133" t="str">
        <f>RESPUESTAS!BG84</f>
        <v>por el momento me siento motivada al 100%</v>
      </c>
      <c r="D488" s="138"/>
    </row>
    <row r="489" spans="2:4" ht="27" customHeight="1" x14ac:dyDescent="0.2">
      <c r="B489" s="132">
        <v>79</v>
      </c>
      <c r="C489" s="133" t="str">
        <f>RESPUESTAS!BG85</f>
        <v>Incentivos económicos</v>
      </c>
      <c r="D489" s="138"/>
    </row>
    <row r="490" spans="2:4" ht="27" customHeight="1" x14ac:dyDescent="0.2">
      <c r="B490" s="132">
        <v>80</v>
      </c>
      <c r="C490" s="133" t="str">
        <f>RESPUESTAS!BG86</f>
        <v xml:space="preserve">incentivos </v>
      </c>
      <c r="D490" s="138"/>
    </row>
    <row r="491" spans="2:4" ht="27" customHeight="1" x14ac:dyDescent="0.2">
      <c r="B491" s="132">
        <v>81</v>
      </c>
      <c r="C491" s="133" t="str">
        <f>RESPUESTAS!BG87</f>
        <v>Trabajar por objetivos, realizar evaluaciones por desempeño de manera periódica, implementar políticas salariales basados en la responsabilidad , funciones del puesto y nivel académico.</v>
      </c>
      <c r="D491" s="138"/>
    </row>
    <row r="492" spans="2:4" ht="27" customHeight="1" x14ac:dyDescent="0.2">
      <c r="B492" s="132">
        <v>82</v>
      </c>
      <c r="C492" s="133" t="str">
        <f>RESPUESTAS!BG88</f>
        <v>Siempre estamos motivados por que nos gusta nuestro trabajo ,pero si nos dan incentivos(bonos) cuando se pueda, nos sentiríamos mejor para mejoras en nuestras familias.</v>
      </c>
      <c r="D492" s="138"/>
    </row>
    <row r="493" spans="2:4" ht="27" customHeight="1" x14ac:dyDescent="0.2">
      <c r="B493" s="132">
        <v>83</v>
      </c>
      <c r="C493" s="133" t="str">
        <f>RESPUESTAS!BG89</f>
        <v xml:space="preserve">. </v>
      </c>
      <c r="D493" s="138"/>
    </row>
    <row r="494" spans="2:4" ht="27" customHeight="1" x14ac:dyDescent="0.2">
      <c r="B494" s="132">
        <v>84</v>
      </c>
      <c r="C494" s="133" t="str">
        <f>RESPUESTAS!BG90</f>
        <v xml:space="preserve">incentivos, </v>
      </c>
      <c r="D494" s="138"/>
    </row>
    <row r="495" spans="2:4" ht="27" customHeight="1" x14ac:dyDescent="0.2">
      <c r="B495" s="132">
        <v>85</v>
      </c>
      <c r="C495" s="133" t="str">
        <f>RESPUESTAS!BG91</f>
        <v xml:space="preserve">Mejor remuneración </v>
      </c>
      <c r="D495" s="138"/>
    </row>
    <row r="496" spans="2:4" ht="27" customHeight="1" x14ac:dyDescent="0.2">
      <c r="B496" s="132">
        <v>86</v>
      </c>
      <c r="C496" s="133" t="str">
        <f>RESPUESTAS!BG92</f>
        <v xml:space="preserve">Premiar a los mejores colaboradores </v>
      </c>
      <c r="D496" s="138"/>
    </row>
    <row r="497" spans="2:4" ht="27" customHeight="1" x14ac:dyDescent="0.2">
      <c r="B497" s="132">
        <v>87</v>
      </c>
      <c r="C497" s="133" t="str">
        <f>RESPUESTAS!BG93</f>
        <v>talleres psicologicos</v>
      </c>
      <c r="D497" s="138"/>
    </row>
    <row r="498" spans="2:4" ht="27" customHeight="1" x14ac:dyDescent="0.2">
      <c r="B498" s="132">
        <v>88</v>
      </c>
      <c r="C498" s="133" t="str">
        <f>RESPUESTAS!BG94</f>
        <v>-</v>
      </c>
      <c r="D498" s="138"/>
    </row>
    <row r="499" spans="2:4" ht="27" customHeight="1" x14ac:dyDescent="0.2">
      <c r="B499" s="132">
        <v>89</v>
      </c>
      <c r="C499" s="133" t="str">
        <f>RESPUESTAS!BG95</f>
        <v>VALORAR MAS AL TRABAJADOR, REALIZAR TARDES DEPORTIVAS</v>
      </c>
      <c r="D499" s="138"/>
    </row>
    <row r="500" spans="2:4" ht="27" customHeight="1" x14ac:dyDescent="0.2">
      <c r="B500" s="132">
        <v>90</v>
      </c>
      <c r="C500" s="133" t="str">
        <f>RESPUESTAS!BG96</f>
        <v>Bonos(sodexo)</v>
      </c>
      <c r="D500" s="138"/>
    </row>
    <row r="501" spans="2:4" ht="27" customHeight="1" x14ac:dyDescent="0.2">
      <c r="B501" s="132">
        <v>91</v>
      </c>
      <c r="C501" s="133" t="str">
        <f>RESPUESTAS!BG97</f>
        <v>Incrementar la remuneración</v>
      </c>
      <c r="D501" s="138"/>
    </row>
    <row r="502" spans="2:4" ht="27" customHeight="1" x14ac:dyDescent="0.2">
      <c r="B502" s="132">
        <v>92</v>
      </c>
      <c r="C502" s="133" t="str">
        <f>RESPUESTAS!BG98</f>
        <v xml:space="preserve">Igualdad salarial </v>
      </c>
      <c r="D502" s="138"/>
    </row>
    <row r="503" spans="2:4" ht="27" customHeight="1" x14ac:dyDescent="0.2">
      <c r="B503" s="132">
        <v>93</v>
      </c>
      <c r="C503" s="133" t="str">
        <f>RESPUESTAS!BG99</f>
        <v>Incentivos tal vez</v>
      </c>
      <c r="D503" s="138"/>
    </row>
    <row r="504" spans="2:4" ht="27" customHeight="1" x14ac:dyDescent="0.2">
      <c r="B504" s="132">
        <v>94</v>
      </c>
      <c r="C504" s="133" t="str">
        <f>RESPUESTAS!BG100</f>
        <v>Mejora de la Remuneración, velar por el bienenstar del trabajador, muchas veces mal de salud llegamos a cumplir con las operaciones</v>
      </c>
      <c r="D504" s="138"/>
    </row>
    <row r="505" spans="2:4" ht="27" customHeight="1" x14ac:dyDescent="0.2">
      <c r="B505" s="132">
        <v>95</v>
      </c>
      <c r="C505" s="133" t="str">
        <f>RESPUESTAS!BG101</f>
        <v>Reconocimiento, incentivos</v>
      </c>
      <c r="D505" s="138"/>
    </row>
    <row r="506" spans="2:4" ht="27" customHeight="1" x14ac:dyDescent="0.2">
      <c r="B506" s="132">
        <v>96</v>
      </c>
      <c r="C506" s="133" t="str">
        <f>RESPUESTAS!BG102</f>
        <v>Beneficios remunerativos, pago de horas extras, flexibilidad en el horario laboral, aumento de sueldo acorde a la subida del costo de vida.</v>
      </c>
      <c r="D506" s="138"/>
    </row>
    <row r="507" spans="2:4" ht="27" customHeight="1" x14ac:dyDescent="0.2">
      <c r="B507" s="132">
        <v>97</v>
      </c>
      <c r="C507" s="133" t="str">
        <f>RESPUESTAS!BG103</f>
        <v>Capacitarme mas</v>
      </c>
      <c r="D507" s="138"/>
    </row>
    <row r="508" spans="2:4" ht="27" customHeight="1" x14ac:dyDescent="0.2">
      <c r="B508" s="132">
        <v>98</v>
      </c>
      <c r="C508" s="133" t="str">
        <f>RESPUESTAS!BG104</f>
        <v xml:space="preserve">mejorar el pago </v>
      </c>
      <c r="D508" s="138"/>
    </row>
    <row r="509" spans="2:4" ht="27" customHeight="1" x14ac:dyDescent="0.2">
      <c r="B509" s="132">
        <v>99</v>
      </c>
      <c r="C509" s="133" t="str">
        <f>RESPUESTAS!BG105</f>
        <v xml:space="preserve">Aumento de sueldo </v>
      </c>
      <c r="D509" s="138"/>
    </row>
    <row r="510" spans="2:4" ht="27" customHeight="1" x14ac:dyDescent="0.2">
      <c r="B510" s="132">
        <v>100</v>
      </c>
      <c r="C510" s="133" t="str">
        <f>RESPUESTAS!BG106</f>
        <v>AUMENTO DE SUELDO</v>
      </c>
      <c r="D510" s="138"/>
    </row>
    <row r="511" spans="2:4" ht="27" customHeight="1" x14ac:dyDescent="0.2">
      <c r="B511" s="132">
        <v>101</v>
      </c>
      <c r="C511" s="133" t="str">
        <f>RESPUESTAS!BG107</f>
        <v>brindar cursos de capacitaciones o diplomados para el área.</v>
      </c>
      <c r="D511" s="138"/>
    </row>
    <row r="512" spans="2:4" ht="27" customHeight="1" x14ac:dyDescent="0.2">
      <c r="B512" s="132">
        <v>102</v>
      </c>
      <c r="C512" s="133" t="str">
        <f>RESPUESTAS!BG108</f>
        <v xml:space="preserve">DIAS DE INTEGRACION CON LAS AREAS </v>
      </c>
      <c r="D512" s="138"/>
    </row>
    <row r="513" spans="2:4" ht="27" customHeight="1" x14ac:dyDescent="0.2">
      <c r="B513" s="132">
        <v>103</v>
      </c>
      <c r="C513" s="133" t="str">
        <f>RESPUESTAS!BG109</f>
        <v>Reconocimiento al trabajador del mes, beneficios de descuentos, etc</v>
      </c>
      <c r="D513" s="138"/>
    </row>
    <row r="514" spans="2:4" ht="27" customHeight="1" x14ac:dyDescent="0.2">
      <c r="B514" s="132">
        <v>104</v>
      </c>
      <c r="C514" s="133" t="str">
        <f>RESPUESTAS!BG110</f>
        <v xml:space="preserve">ACTIVIDADES DEPORTIVAS PARA GENERAR BUEN COMPAREÑISMO </v>
      </c>
      <c r="D514" s="138"/>
    </row>
    <row r="515" spans="2:4" ht="27" customHeight="1" x14ac:dyDescent="0.2">
      <c r="B515" s="132">
        <v>105</v>
      </c>
      <c r="C515" s="133" t="str">
        <f>RESPUESTAS!BG111</f>
        <v xml:space="preserve">Mejor salario, actividades sociales </v>
      </c>
      <c r="D515" s="138"/>
    </row>
    <row r="516" spans="2:4" ht="27" customHeight="1" x14ac:dyDescent="0.2">
      <c r="B516" s="132">
        <v>106</v>
      </c>
      <c r="C516" s="133" t="str">
        <f>RESPUESTAS!BG112</f>
        <v xml:space="preserve">En mi caso un aumento de sueldo, sé que hay personal que trabaja de asistentes o que entraron últimamente que ganan mas que yo, eso obviamente no me motiva, creo que doy todo de mí para este trabajo, el trato con los clientes siempre es el mejor y que no se debe ver reflejado mi desmotivación con ellos, ya que no tienen la culpa; pero la vida ha encarecido mucho y lamentablemente el sueldo no me alcanza </v>
      </c>
      <c r="D516" s="138"/>
    </row>
    <row r="517" spans="2:4" ht="27" customHeight="1" x14ac:dyDescent="0.2">
      <c r="B517" s="132">
        <v>107</v>
      </c>
      <c r="C517" s="133" t="str">
        <f>RESPUESTAS!BG113</f>
        <v>---</v>
      </c>
      <c r="D517" s="138"/>
    </row>
    <row r="518" spans="2:4" ht="27" customHeight="1" x14ac:dyDescent="0.2">
      <c r="B518" s="132">
        <v>108</v>
      </c>
      <c r="C518" s="133" t="str">
        <f>RESPUESTAS!BG114</f>
        <v>Que regrese el incentivo de trabajador del mes</v>
      </c>
      <c r="D518" s="138"/>
    </row>
    <row r="519" spans="2:4" ht="27" customHeight="1" x14ac:dyDescent="0.2">
      <c r="B519" s="132">
        <v>109</v>
      </c>
      <c r="C519" s="133" t="str">
        <f>RESPUESTAS!BG115</f>
        <v xml:space="preserve">brindarnos bonos por igual a todos no solo a las areas que ellos decidan </v>
      </c>
      <c r="D519" s="138"/>
    </row>
    <row r="520" spans="2:4" ht="27" customHeight="1" x14ac:dyDescent="0.2">
      <c r="B520" s="132">
        <v>110</v>
      </c>
      <c r="C520" s="133" t="str">
        <f>RESPUESTAS!BG116</f>
        <v>*Tener el reconocimiento para todo el equipo, ya que considero que en cuanto a unión de equipo, el nuestro es el más unido respecto de las demás áreas, si esto es premiado, las demás áreas (las mas complicadas en cuanto a personal) podrían esforzarse para mejorar personalmente y eso cambiaría el trato entre personas. 
*Que algunas personas de otras áreas puedan discernir y separar temas laborales con trato personal, ya que me ha pasado que por temas laborales me han quitado hasta el saludo y eso no debería ocurrir.
*Que en los eventos internos la gerencia tenga participación de principio a fin, ya que en los eventos ya sea navidad o alguna otra actividad corporativa, llegan todos y luego del compartir los trabajadores normalmente se quedan solos y creo que el compartir con la gerencia es importante para el desarrollo de los lazos laborales desde el cargo mas simple hasta el mas alto. 
*Que se revise a fondo las remuneraciones percibidas por cada cargo ya que a mi parecer existe personal en otras sedes con menos carga que gana mas, en cuanto a mi remuneración si considero que también se debería de revisar debido a la, carga laborar que tengo.
*Que no solo haya deporte, sino también otros tipos de eventos para la integración del personal.</v>
      </c>
      <c r="D520" s="138"/>
    </row>
    <row r="521" spans="2:4" ht="27" customHeight="1" x14ac:dyDescent="0.2">
      <c r="B521" s="132">
        <v>111</v>
      </c>
      <c r="C521" s="133" t="str">
        <f>RESPUESTAS!BG117</f>
        <v>VALOR EL ESFUERZO QUE EL COLABORAR HACE EN CADA OPERACION CON INCENTIVOA ECONOMICOS.</v>
      </c>
      <c r="D521" s="138"/>
    </row>
    <row r="522" spans="2:4" ht="27" customHeight="1" x14ac:dyDescent="0.2">
      <c r="B522" s="132">
        <v>112</v>
      </c>
      <c r="C522" s="133" t="str">
        <f>RESPUESTAS!BG118</f>
        <v xml:space="preserve">QUE REGRESE EL COLABORADOR DEL MES , QUE DEN BONOS DE PRODUCTIVIDAD ,  QUE SEAN JUSTOS CON LOS SUELDOS </v>
      </c>
      <c r="D522" s="138"/>
    </row>
    <row r="523" spans="2:4" ht="27" customHeight="1" x14ac:dyDescent="0.2">
      <c r="B523" s="132">
        <v>113</v>
      </c>
      <c r="C523" s="133" t="str">
        <f>RESPUESTAS!BG119</f>
        <v xml:space="preserve">alguna reconocimiento  sobre el trabajo y desempeño de cada personal </v>
      </c>
      <c r="D523" s="138"/>
    </row>
    <row r="524" spans="2:4" ht="27" customHeight="1" x14ac:dyDescent="0.2">
      <c r="B524" s="132">
        <v>114</v>
      </c>
      <c r="C524" s="133" t="str">
        <f>RESPUESTAS!BG120</f>
        <v>.</v>
      </c>
      <c r="D524" s="138"/>
    </row>
    <row r="525" spans="2:4" ht="27" customHeight="1" x14ac:dyDescent="0.2">
      <c r="B525" s="132">
        <v>115</v>
      </c>
      <c r="C525" s="133" t="str">
        <f>RESPUESTAS!BG121</f>
        <v xml:space="preserve">Igualdad para podas las personas y no tener favoritismo. Además, ser un poco mas agradecidos con los trabajos que se matan por la empresa. Por ultimo, que tengamos un aumento de sueldo conforme al trabajo realizado y no solo por grados de estudios o favoritismo(no necesariamente de una misma área sino con el resto). </v>
      </c>
      <c r="D525" s="138"/>
    </row>
    <row r="526" spans="2:4" ht="27" customHeight="1" x14ac:dyDescent="0.2">
      <c r="B526" s="132">
        <v>116</v>
      </c>
      <c r="C526" s="133" t="str">
        <f>RESPUESTAS!BG122</f>
        <v>Si bien el aumento salarial es un factor relevante para todo trabajador, los reconocimientos y el trato equitativo, e incluso justo, para con todos, motivaría a los colaboradores a hacer un mejor trabajo (que no haya preferencias o excepciones insinuando que algunas personas lo merecen y otras no respecto a la jornada y horario laboral como en otras circunstancias).</v>
      </c>
      <c r="D526" s="138"/>
    </row>
    <row r="527" spans="2:4" ht="27" customHeight="1" x14ac:dyDescent="0.2">
      <c r="B527" s="132">
        <v>117</v>
      </c>
      <c r="C527" s="133" t="str">
        <f>RESPUESTAS!BG123</f>
        <v xml:space="preserve">DINÁMICAS DE INTEGRACIÓN </v>
      </c>
      <c r="D527" s="138"/>
    </row>
    <row r="528" spans="2:4" ht="27" customHeight="1" x14ac:dyDescent="0.2">
      <c r="B528" s="132">
        <v>118</v>
      </c>
      <c r="C528" s="133" t="str">
        <f>RESPUESTAS!BG124</f>
        <v>BONOS DE INCENTIVO</v>
      </c>
      <c r="D528" s="138"/>
    </row>
    <row r="529" spans="2:4" ht="27" customHeight="1" x14ac:dyDescent="0.2">
      <c r="B529" s="132">
        <v>119</v>
      </c>
      <c r="C529" s="133" t="str">
        <f>RESPUESTAS!BG125</f>
        <v xml:space="preserve">Mas reuniones entre cada área , para mejorar la comunicación laboral y puntos de vista. </v>
      </c>
      <c r="D529" s="138"/>
    </row>
    <row r="530" spans="2:4" ht="27" customHeight="1" x14ac:dyDescent="0.2">
      <c r="B530" s="132">
        <v>120</v>
      </c>
      <c r="C530" s="133" t="str">
        <f>RESPUESTAS!BG126</f>
        <v xml:space="preserve">Aumentar remuneración </v>
      </c>
      <c r="D530" s="138"/>
    </row>
    <row r="531" spans="2:4" ht="27" customHeight="1" x14ac:dyDescent="0.2">
      <c r="B531" s="132">
        <v>121</v>
      </c>
      <c r="C531" s="133" t="str">
        <f>RESPUESTAS!BG127</f>
        <v>Ayudarnos cuando lo necesitemos</v>
      </c>
      <c r="D531" s="138"/>
    </row>
    <row r="532" spans="2:4" ht="27" customHeight="1" x14ac:dyDescent="0.2">
      <c r="B532" s="132">
        <v>122</v>
      </c>
      <c r="C532" s="133" t="str">
        <f>RESPUESTAS!BG128</f>
        <v>EVALUAR A LOS TRABAJADORES UNA VEZ POR AÑO</v>
      </c>
      <c r="D532" s="138"/>
    </row>
    <row r="533" spans="2:4" ht="27" customHeight="1" x14ac:dyDescent="0.2">
      <c r="B533" s="132">
        <v>123</v>
      </c>
      <c r="C533" s="133" t="str">
        <f>RESPUESTAS!BG129</f>
        <v xml:space="preserve">Celebrar los logros y ofrecer recompensas. </v>
      </c>
      <c r="D533" s="138"/>
    </row>
    <row r="534" spans="2:4" ht="27" customHeight="1" x14ac:dyDescent="0.2">
      <c r="B534" s="132">
        <v>124</v>
      </c>
      <c r="C534" s="133" t="str">
        <f>RESPUESTAS!BG130</f>
        <v xml:space="preserve">INTEGRACION AL MENOS  UNA VEZ POR SEMANA </v>
      </c>
      <c r="D534" s="138"/>
    </row>
    <row r="535" spans="2:4" ht="27" customHeight="1" x14ac:dyDescent="0.2">
      <c r="B535" s="132">
        <v>125</v>
      </c>
      <c r="C535" s="133" t="str">
        <f>RESPUESTAS!BG131</f>
        <v>tener vacaciones, aumento de sueldo</v>
      </c>
      <c r="D535" s="138"/>
    </row>
    <row r="536" spans="2:4" ht="27" customHeight="1" x14ac:dyDescent="0.2">
      <c r="B536" s="132">
        <v>126</v>
      </c>
      <c r="C536" s="133" t="str">
        <f>RESPUESTAS!BG132</f>
        <v>Brindar oportunidades de aprendizaje y crecimiento
Ofrecer cursos de formación
Recibir incentivos positivos</v>
      </c>
      <c r="D536" s="138"/>
    </row>
    <row r="537" spans="2:4" ht="27" customHeight="1" x14ac:dyDescent="0.2">
      <c r="B537" s="132">
        <v>127</v>
      </c>
      <c r="C537" s="133" t="str">
        <f>RESPUESTAS!BG133</f>
        <v>Aumento de sueldo</v>
      </c>
      <c r="D537" s="138"/>
    </row>
    <row r="538" spans="2:4" ht="27" customHeight="1" x14ac:dyDescent="0.2">
      <c r="B538" s="132">
        <v>128</v>
      </c>
      <c r="C538" s="133" t="str">
        <f>RESPUESTAS!BG134</f>
        <v>Reconocimiento, considero.</v>
      </c>
      <c r="D538" s="138"/>
    </row>
    <row r="539" spans="2:4" ht="27" customHeight="1" x14ac:dyDescent="0.2">
      <c r="B539" s="132">
        <v>129</v>
      </c>
      <c r="C539" s="133" t="str">
        <f>RESPUESTAS!BG135</f>
        <v>Hay algunos puntos que deberían tomarse en cuenta.</v>
      </c>
      <c r="D539" s="138"/>
    </row>
    <row r="540" spans="2:4" ht="27" customHeight="1" x14ac:dyDescent="0.2">
      <c r="B540" s="132">
        <v>130</v>
      </c>
      <c r="C540" s="133" t="str">
        <f>RESPUESTAS!BG136</f>
        <v>todo bien con tal de darle solución algún trabajo encomendado .</v>
      </c>
      <c r="D540" s="138"/>
    </row>
  </sheetData>
  <mergeCells count="4">
    <mergeCell ref="B2:D2"/>
    <mergeCell ref="B3:D3"/>
    <mergeCell ref="B6:D6"/>
    <mergeCell ref="B278:D278"/>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0DC8-1E3D-4559-8EF6-36421062C3FB}">
  <sheetPr>
    <tabColor theme="4" tint="0.79998168889431442"/>
    <outlinePr summaryBelow="0" summaryRight="0"/>
  </sheetPr>
  <dimension ref="A1:O993"/>
  <sheetViews>
    <sheetView showGridLines="0" workbookViewId="0">
      <pane xSplit="3" ySplit="4" topLeftCell="D5" activePane="bottomRight" state="frozen"/>
      <selection pane="topRight" activeCell="D1" sqref="D1"/>
      <selection pane="bottomLeft" activeCell="A5" sqref="A5"/>
      <selection pane="bottomRight" activeCell="H5" sqref="H5"/>
    </sheetView>
  </sheetViews>
  <sheetFormatPr baseColWidth="10" defaultColWidth="12.625" defaultRowHeight="15" customHeight="1" x14ac:dyDescent="0.2"/>
  <cols>
    <col min="1" max="1" width="5.125" style="123" customWidth="1"/>
    <col min="2" max="2" width="15.125" style="123" customWidth="1"/>
    <col min="3" max="3" width="43.125" style="123" customWidth="1"/>
    <col min="4" max="4" width="8.5" style="123" customWidth="1"/>
    <col min="5" max="5" width="8.125" style="123" customWidth="1"/>
    <col min="6" max="9" width="8.5" style="123" customWidth="1"/>
    <col min="10" max="10" width="10.125" style="123" customWidth="1"/>
    <col min="11" max="13" width="8.75" style="123" customWidth="1"/>
    <col min="14" max="14" width="6.625" style="146" customWidth="1"/>
    <col min="15" max="15" width="6.625" style="168" customWidth="1"/>
    <col min="16" max="16384" width="12.625" style="123"/>
  </cols>
  <sheetData>
    <row r="1" spans="1:15" ht="31.5" customHeight="1" x14ac:dyDescent="0.2">
      <c r="B1" s="144"/>
      <c r="C1" s="145" t="s">
        <v>798</v>
      </c>
    </row>
    <row r="2" spans="1:15" ht="9" customHeight="1" thickBot="1" x14ac:dyDescent="0.25">
      <c r="B2" s="144"/>
      <c r="C2" s="145"/>
    </row>
    <row r="3" spans="1:15" ht="25.5" customHeight="1" thickBot="1" x14ac:dyDescent="0.25">
      <c r="B3" s="144"/>
      <c r="C3" s="147" t="s">
        <v>110</v>
      </c>
      <c r="D3" s="148">
        <f>RESPUESTAS!L3</f>
        <v>130</v>
      </c>
      <c r="E3" s="154"/>
    </row>
    <row r="4" spans="1:15" s="164" customFormat="1" ht="25.5" x14ac:dyDescent="0.2">
      <c r="A4" s="156" t="s">
        <v>3</v>
      </c>
      <c r="B4" s="157" t="s">
        <v>2</v>
      </c>
      <c r="C4" s="158" t="s">
        <v>4</v>
      </c>
      <c r="D4" s="158" t="s">
        <v>5</v>
      </c>
      <c r="E4" s="158" t="s">
        <v>800</v>
      </c>
      <c r="F4" s="159" t="s">
        <v>6</v>
      </c>
      <c r="G4" s="158" t="s">
        <v>800</v>
      </c>
      <c r="H4" s="158" t="s">
        <v>7</v>
      </c>
      <c r="I4" s="158" t="s">
        <v>800</v>
      </c>
      <c r="J4" s="160" t="s">
        <v>8</v>
      </c>
      <c r="K4" s="161" t="s">
        <v>800</v>
      </c>
      <c r="L4" s="162" t="s">
        <v>9</v>
      </c>
      <c r="M4" s="161" t="s">
        <v>800</v>
      </c>
      <c r="N4" s="163" t="s">
        <v>161</v>
      </c>
      <c r="O4" s="166" t="s">
        <v>800</v>
      </c>
    </row>
    <row r="5" spans="1:15" ht="15" customHeight="1" x14ac:dyDescent="0.2">
      <c r="A5" s="151">
        <v>1</v>
      </c>
      <c r="B5" s="279" t="s">
        <v>10</v>
      </c>
      <c r="C5" s="149" t="s">
        <v>11</v>
      </c>
      <c r="D5" s="153">
        <f>RESPUESTAS!D142</f>
        <v>0</v>
      </c>
      <c r="E5" s="165">
        <f>((D5*1)/$D$3)</f>
        <v>0</v>
      </c>
      <c r="F5" s="153">
        <f>RESPUESTAS!D143</f>
        <v>0</v>
      </c>
      <c r="G5" s="165">
        <f>F5*1/$D$3</f>
        <v>0</v>
      </c>
      <c r="H5" s="153">
        <f>RESPUESTAS!D144/3</f>
        <v>12</v>
      </c>
      <c r="I5" s="165">
        <f>H5*1/$D$3</f>
        <v>9.2307692307692313E-2</v>
      </c>
      <c r="J5" s="153">
        <f>RESPUESTAS!D145/4</f>
        <v>46</v>
      </c>
      <c r="K5" s="165">
        <f>J5*1/$D$3</f>
        <v>0.35384615384615387</v>
      </c>
      <c r="L5" s="155">
        <f>RESPUESTAS!D146/5</f>
        <v>72</v>
      </c>
      <c r="M5" s="167">
        <f>L5*1/$D$3</f>
        <v>0.55384615384615388</v>
      </c>
      <c r="N5" s="146">
        <f>SUM(D5+F5+H5+J5+L5)</f>
        <v>130</v>
      </c>
      <c r="O5" s="169">
        <f>SUM(E5+G5+I5+K5+M5)</f>
        <v>1</v>
      </c>
    </row>
    <row r="6" spans="1:15" ht="15" customHeight="1" x14ac:dyDescent="0.2">
      <c r="A6" s="152">
        <v>2</v>
      </c>
      <c r="B6" s="278"/>
      <c r="C6" s="149" t="s">
        <v>310</v>
      </c>
      <c r="D6" s="150">
        <f>RESPUESTAS!E142/1</f>
        <v>3</v>
      </c>
      <c r="E6" s="165">
        <f t="shared" ref="E6:E42" si="0">((D6*1)/$D$3)</f>
        <v>2.3076923076923078E-2</v>
      </c>
      <c r="F6" s="150">
        <f>RESPUESTAS!E143/2</f>
        <v>3</v>
      </c>
      <c r="G6" s="165">
        <f t="shared" ref="G6:G42" si="1">F6*1/$D$3</f>
        <v>2.3076923076923078E-2</v>
      </c>
      <c r="H6" s="150">
        <f>RESPUESTAS!E144/3</f>
        <v>28</v>
      </c>
      <c r="I6" s="165">
        <f t="shared" ref="I6:I42" si="2">H6*1/$D$3</f>
        <v>0.2153846153846154</v>
      </c>
      <c r="J6" s="150">
        <f>RESPUESTAS!E145/4</f>
        <v>49</v>
      </c>
      <c r="K6" s="165">
        <f t="shared" ref="K6:K42" si="3">J6*1/$D$3</f>
        <v>0.37692307692307692</v>
      </c>
      <c r="L6" s="152">
        <f>RESPUESTAS!E146/5</f>
        <v>47</v>
      </c>
      <c r="M6" s="167">
        <f t="shared" ref="M6:M42" si="4">L6*1/$D$3</f>
        <v>0.36153846153846153</v>
      </c>
      <c r="N6" s="146">
        <f t="shared" ref="N6:N42" si="5">SUM(D6+F6+H6+J6+L6)</f>
        <v>130</v>
      </c>
      <c r="O6" s="169">
        <f t="shared" ref="O6:O42" si="6">SUM(E6+G6+I6+K6+M6)</f>
        <v>1</v>
      </c>
    </row>
    <row r="7" spans="1:15" ht="15" customHeight="1" x14ac:dyDescent="0.2">
      <c r="A7" s="151">
        <v>3</v>
      </c>
      <c r="B7" s="278"/>
      <c r="C7" s="149" t="s">
        <v>12</v>
      </c>
      <c r="D7" s="150">
        <f>RESPUESTAS!F$142/1</f>
        <v>0</v>
      </c>
      <c r="E7" s="165">
        <f t="shared" si="0"/>
        <v>0</v>
      </c>
      <c r="F7" s="150">
        <f>RESPUESTAS!F$143/2</f>
        <v>0</v>
      </c>
      <c r="G7" s="165">
        <f t="shared" si="1"/>
        <v>0</v>
      </c>
      <c r="H7" s="150">
        <f>RESPUESTAS!F$144/3</f>
        <v>5</v>
      </c>
      <c r="I7" s="165">
        <f t="shared" si="2"/>
        <v>3.8461538461538464E-2</v>
      </c>
      <c r="J7" s="150">
        <f>RESPUESTAS!F$145/4</f>
        <v>26</v>
      </c>
      <c r="K7" s="165">
        <f t="shared" si="3"/>
        <v>0.2</v>
      </c>
      <c r="L7" s="152">
        <f>RESPUESTAS!F$146/5</f>
        <v>99</v>
      </c>
      <c r="M7" s="167">
        <f t="shared" si="4"/>
        <v>0.7615384615384615</v>
      </c>
      <c r="N7" s="146">
        <f t="shared" si="5"/>
        <v>130</v>
      </c>
      <c r="O7" s="169">
        <f t="shared" si="6"/>
        <v>1</v>
      </c>
    </row>
    <row r="8" spans="1:15" ht="15" customHeight="1" x14ac:dyDescent="0.2">
      <c r="A8" s="152">
        <v>4</v>
      </c>
      <c r="B8" s="280" t="s">
        <v>13</v>
      </c>
      <c r="C8" s="149" t="s">
        <v>14</v>
      </c>
      <c r="D8" s="150">
        <f>RESPUESTAS!G$142/1</f>
        <v>3</v>
      </c>
      <c r="E8" s="165">
        <f t="shared" si="0"/>
        <v>2.3076923076923078E-2</v>
      </c>
      <c r="F8" s="150">
        <f>RESPUESTAS!G$143/2</f>
        <v>2</v>
      </c>
      <c r="G8" s="165">
        <f t="shared" si="1"/>
        <v>1.5384615384615385E-2</v>
      </c>
      <c r="H8" s="150">
        <f>RESPUESTAS!G$144/3</f>
        <v>23</v>
      </c>
      <c r="I8" s="165">
        <f t="shared" si="2"/>
        <v>0.17692307692307693</v>
      </c>
      <c r="J8" s="150">
        <f>RESPUESTAS!G$145/4</f>
        <v>44</v>
      </c>
      <c r="K8" s="165">
        <f t="shared" si="3"/>
        <v>0.33846153846153848</v>
      </c>
      <c r="L8" s="152">
        <f>RESPUESTAS!G$146/5</f>
        <v>58</v>
      </c>
      <c r="M8" s="167">
        <f t="shared" si="4"/>
        <v>0.44615384615384618</v>
      </c>
      <c r="N8" s="146">
        <f t="shared" si="5"/>
        <v>130</v>
      </c>
      <c r="O8" s="169">
        <f t="shared" si="6"/>
        <v>1</v>
      </c>
    </row>
    <row r="9" spans="1:15" ht="15" customHeight="1" x14ac:dyDescent="0.2">
      <c r="A9" s="151">
        <v>5</v>
      </c>
      <c r="B9" s="278"/>
      <c r="C9" s="149" t="s">
        <v>15</v>
      </c>
      <c r="D9" s="150">
        <f>RESPUESTAS!H$142/1</f>
        <v>1</v>
      </c>
      <c r="E9" s="165">
        <f t="shared" si="0"/>
        <v>7.6923076923076927E-3</v>
      </c>
      <c r="F9" s="150">
        <f>RESPUESTAS!H$143/2</f>
        <v>3</v>
      </c>
      <c r="G9" s="165">
        <f t="shared" si="1"/>
        <v>2.3076923076923078E-2</v>
      </c>
      <c r="H9" s="150">
        <f>RESPUESTAS!H$144/3</f>
        <v>20</v>
      </c>
      <c r="I9" s="165">
        <f t="shared" si="2"/>
        <v>0.15384615384615385</v>
      </c>
      <c r="J9" s="150">
        <f>RESPUESTAS!H$145/4</f>
        <v>51</v>
      </c>
      <c r="K9" s="165">
        <f t="shared" si="3"/>
        <v>0.3923076923076923</v>
      </c>
      <c r="L9" s="152">
        <f>RESPUESTAS!H$146/5</f>
        <v>55</v>
      </c>
      <c r="M9" s="167">
        <f t="shared" si="4"/>
        <v>0.42307692307692307</v>
      </c>
      <c r="N9" s="146">
        <f t="shared" si="5"/>
        <v>130</v>
      </c>
      <c r="O9" s="169">
        <f t="shared" si="6"/>
        <v>1</v>
      </c>
    </row>
    <row r="10" spans="1:15" ht="15" customHeight="1" x14ac:dyDescent="0.2">
      <c r="A10" s="152">
        <v>6</v>
      </c>
      <c r="B10" s="278"/>
      <c r="C10" s="149" t="s">
        <v>311</v>
      </c>
      <c r="D10" s="150">
        <f>RESPUESTAS!I$142/1</f>
        <v>3</v>
      </c>
      <c r="E10" s="165">
        <f t="shared" si="0"/>
        <v>2.3076923076923078E-2</v>
      </c>
      <c r="F10" s="150">
        <f>RESPUESTAS!I$143/2</f>
        <v>1</v>
      </c>
      <c r="G10" s="165">
        <f t="shared" si="1"/>
        <v>7.6923076923076927E-3</v>
      </c>
      <c r="H10" s="150">
        <f>RESPUESTAS!I$144/3</f>
        <v>7</v>
      </c>
      <c r="I10" s="165">
        <f t="shared" si="2"/>
        <v>5.3846153846153849E-2</v>
      </c>
      <c r="J10" s="150">
        <f>RESPUESTAS!I$145/4</f>
        <v>50</v>
      </c>
      <c r="K10" s="165">
        <f t="shared" si="3"/>
        <v>0.38461538461538464</v>
      </c>
      <c r="L10" s="152">
        <f>RESPUESTAS!I$146/5</f>
        <v>69</v>
      </c>
      <c r="M10" s="167">
        <f t="shared" si="4"/>
        <v>0.53076923076923077</v>
      </c>
      <c r="N10" s="146">
        <f t="shared" si="5"/>
        <v>130</v>
      </c>
      <c r="O10" s="169">
        <f t="shared" si="6"/>
        <v>1</v>
      </c>
    </row>
    <row r="11" spans="1:15" ht="15" customHeight="1" x14ac:dyDescent="0.2">
      <c r="A11" s="151">
        <v>7</v>
      </c>
      <c r="B11" s="277" t="s">
        <v>799</v>
      </c>
      <c r="C11" s="149" t="s">
        <v>312</v>
      </c>
      <c r="D11" s="150">
        <f>RESPUESTAS!J$142/1</f>
        <v>5</v>
      </c>
      <c r="E11" s="165">
        <f t="shared" si="0"/>
        <v>3.8461538461538464E-2</v>
      </c>
      <c r="F11" s="150">
        <f>RESPUESTAS!J$143/2</f>
        <v>10</v>
      </c>
      <c r="G11" s="165">
        <f t="shared" si="1"/>
        <v>7.6923076923076927E-2</v>
      </c>
      <c r="H11" s="150">
        <f>RESPUESTAS!J$144/3</f>
        <v>33</v>
      </c>
      <c r="I11" s="165">
        <f t="shared" si="2"/>
        <v>0.25384615384615383</v>
      </c>
      <c r="J11" s="150">
        <f>RESPUESTAS!J$145/4</f>
        <v>37</v>
      </c>
      <c r="K11" s="165">
        <f t="shared" si="3"/>
        <v>0.2846153846153846</v>
      </c>
      <c r="L11" s="152">
        <f>RESPUESTAS!J$146/5</f>
        <v>45</v>
      </c>
      <c r="M11" s="167">
        <f t="shared" si="4"/>
        <v>0.34615384615384615</v>
      </c>
      <c r="N11" s="146">
        <f t="shared" si="5"/>
        <v>130</v>
      </c>
      <c r="O11" s="169">
        <f t="shared" si="6"/>
        <v>1</v>
      </c>
    </row>
    <row r="12" spans="1:15" ht="15" customHeight="1" x14ac:dyDescent="0.2">
      <c r="A12" s="152">
        <v>8</v>
      </c>
      <c r="B12" s="278"/>
      <c r="C12" s="149" t="s">
        <v>313</v>
      </c>
      <c r="D12" s="150">
        <f>RESPUESTAS!K$142/1</f>
        <v>3</v>
      </c>
      <c r="E12" s="165">
        <f t="shared" si="0"/>
        <v>2.3076923076923078E-2</v>
      </c>
      <c r="F12" s="150">
        <f>RESPUESTAS!K$143/2</f>
        <v>10</v>
      </c>
      <c r="G12" s="165">
        <f t="shared" si="1"/>
        <v>7.6923076923076927E-2</v>
      </c>
      <c r="H12" s="150">
        <f>RESPUESTAS!K$144/3</f>
        <v>22</v>
      </c>
      <c r="I12" s="165">
        <f t="shared" si="2"/>
        <v>0.16923076923076924</v>
      </c>
      <c r="J12" s="150">
        <f>RESPUESTAS!K$145/4</f>
        <v>43</v>
      </c>
      <c r="K12" s="165">
        <f t="shared" si="3"/>
        <v>0.33076923076923076</v>
      </c>
      <c r="L12" s="152">
        <f>RESPUESTAS!K$146/5</f>
        <v>52</v>
      </c>
      <c r="M12" s="167">
        <f t="shared" si="4"/>
        <v>0.4</v>
      </c>
      <c r="N12" s="146">
        <f t="shared" si="5"/>
        <v>130</v>
      </c>
      <c r="O12" s="169">
        <f t="shared" si="6"/>
        <v>1</v>
      </c>
    </row>
    <row r="13" spans="1:15" ht="15" customHeight="1" x14ac:dyDescent="0.2">
      <c r="A13" s="151">
        <v>9</v>
      </c>
      <c r="B13" s="278"/>
      <c r="C13" s="149" t="s">
        <v>314</v>
      </c>
      <c r="D13" s="150">
        <f>RESPUESTAS!L$142/1</f>
        <v>0</v>
      </c>
      <c r="E13" s="165">
        <f t="shared" si="0"/>
        <v>0</v>
      </c>
      <c r="F13" s="150">
        <f>RESPUESTAS!L$143/2</f>
        <v>2</v>
      </c>
      <c r="G13" s="165">
        <f t="shared" si="1"/>
        <v>1.5384615384615385E-2</v>
      </c>
      <c r="H13" s="150">
        <f>RESPUESTAS!L$144/3</f>
        <v>19</v>
      </c>
      <c r="I13" s="165">
        <f t="shared" si="2"/>
        <v>0.14615384615384616</v>
      </c>
      <c r="J13" s="150">
        <f>RESPUESTAS!L$145/4</f>
        <v>42</v>
      </c>
      <c r="K13" s="165">
        <f t="shared" si="3"/>
        <v>0.32307692307692309</v>
      </c>
      <c r="L13" s="152">
        <f>RESPUESTAS!L$146/5</f>
        <v>67</v>
      </c>
      <c r="M13" s="167">
        <f t="shared" si="4"/>
        <v>0.51538461538461533</v>
      </c>
      <c r="N13" s="146">
        <f t="shared" si="5"/>
        <v>130</v>
      </c>
      <c r="O13" s="169">
        <f t="shared" si="6"/>
        <v>1</v>
      </c>
    </row>
    <row r="14" spans="1:15" ht="15" customHeight="1" x14ac:dyDescent="0.2">
      <c r="A14" s="152">
        <v>10</v>
      </c>
      <c r="B14" s="279" t="s">
        <v>17</v>
      </c>
      <c r="C14" s="149" t="s">
        <v>315</v>
      </c>
      <c r="D14" s="150">
        <f>RESPUESTAS!M$142/1</f>
        <v>4</v>
      </c>
      <c r="E14" s="165">
        <f t="shared" si="0"/>
        <v>3.0769230769230771E-2</v>
      </c>
      <c r="F14" s="150">
        <f>RESPUESTAS!M$143/2</f>
        <v>13</v>
      </c>
      <c r="G14" s="165">
        <f t="shared" si="1"/>
        <v>0.1</v>
      </c>
      <c r="H14" s="150">
        <f>RESPUESTAS!M$144/3</f>
        <v>23</v>
      </c>
      <c r="I14" s="165">
        <f t="shared" si="2"/>
        <v>0.17692307692307693</v>
      </c>
      <c r="J14" s="150">
        <f>RESPUESTAS!M$145/4</f>
        <v>34</v>
      </c>
      <c r="K14" s="165">
        <f t="shared" si="3"/>
        <v>0.26153846153846155</v>
      </c>
      <c r="L14" s="152">
        <f>RESPUESTAS!M$146/5</f>
        <v>56</v>
      </c>
      <c r="M14" s="167">
        <f t="shared" si="4"/>
        <v>0.43076923076923079</v>
      </c>
      <c r="N14" s="146">
        <f t="shared" si="5"/>
        <v>130</v>
      </c>
      <c r="O14" s="169">
        <f t="shared" si="6"/>
        <v>1</v>
      </c>
    </row>
    <row r="15" spans="1:15" ht="15" customHeight="1" x14ac:dyDescent="0.2">
      <c r="A15" s="151">
        <v>11</v>
      </c>
      <c r="B15" s="278"/>
      <c r="C15" s="149" t="s">
        <v>18</v>
      </c>
      <c r="D15" s="150">
        <f>RESPUESTAS!N$142/1</f>
        <v>4</v>
      </c>
      <c r="E15" s="165">
        <f t="shared" si="0"/>
        <v>3.0769230769230771E-2</v>
      </c>
      <c r="F15" s="150">
        <f>RESPUESTAS!N$143/2</f>
        <v>7</v>
      </c>
      <c r="G15" s="165">
        <f t="shared" si="1"/>
        <v>5.3846153846153849E-2</v>
      </c>
      <c r="H15" s="150">
        <f>RESPUESTAS!N$144/3</f>
        <v>24</v>
      </c>
      <c r="I15" s="165">
        <f t="shared" si="2"/>
        <v>0.18461538461538463</v>
      </c>
      <c r="J15" s="150">
        <f>RESPUESTAS!N$145/4</f>
        <v>38</v>
      </c>
      <c r="K15" s="165">
        <f t="shared" si="3"/>
        <v>0.29230769230769232</v>
      </c>
      <c r="L15" s="152">
        <f>RESPUESTAS!N$146/5</f>
        <v>57</v>
      </c>
      <c r="M15" s="167">
        <f t="shared" si="4"/>
        <v>0.43846153846153846</v>
      </c>
      <c r="N15" s="146">
        <f t="shared" si="5"/>
        <v>130</v>
      </c>
      <c r="O15" s="169">
        <f t="shared" si="6"/>
        <v>1</v>
      </c>
    </row>
    <row r="16" spans="1:15" ht="14.25" x14ac:dyDescent="0.2">
      <c r="A16" s="152">
        <v>12</v>
      </c>
      <c r="B16" s="278"/>
      <c r="C16" s="149" t="s">
        <v>19</v>
      </c>
      <c r="D16" s="150">
        <f>RESPUESTAS!O$142/1</f>
        <v>4</v>
      </c>
      <c r="E16" s="165">
        <f t="shared" si="0"/>
        <v>3.0769230769230771E-2</v>
      </c>
      <c r="F16" s="150">
        <f>RESPUESTAS!O$143/2</f>
        <v>14</v>
      </c>
      <c r="G16" s="165">
        <f t="shared" si="1"/>
        <v>0.1076923076923077</v>
      </c>
      <c r="H16" s="150">
        <f>RESPUESTAS!O$144/3</f>
        <v>31</v>
      </c>
      <c r="I16" s="165">
        <f t="shared" si="2"/>
        <v>0.23846153846153847</v>
      </c>
      <c r="J16" s="150">
        <f>RESPUESTAS!O$145/4</f>
        <v>45</v>
      </c>
      <c r="K16" s="165">
        <f t="shared" si="3"/>
        <v>0.34615384615384615</v>
      </c>
      <c r="L16" s="152">
        <f>RESPUESTAS!O$146/5</f>
        <v>36</v>
      </c>
      <c r="M16" s="167">
        <f t="shared" si="4"/>
        <v>0.27692307692307694</v>
      </c>
      <c r="N16" s="146">
        <f t="shared" si="5"/>
        <v>130</v>
      </c>
      <c r="O16" s="169">
        <f t="shared" si="6"/>
        <v>1</v>
      </c>
    </row>
    <row r="17" spans="1:15" ht="14.25" x14ac:dyDescent="0.2">
      <c r="A17" s="151">
        <v>13</v>
      </c>
      <c r="B17" s="278"/>
      <c r="C17" s="149" t="s">
        <v>20</v>
      </c>
      <c r="D17" s="150">
        <f>RESPUESTAS!P$142/1</f>
        <v>13</v>
      </c>
      <c r="E17" s="165">
        <f t="shared" si="0"/>
        <v>0.1</v>
      </c>
      <c r="F17" s="150">
        <f>RESPUESTAS!P$143/2</f>
        <v>30</v>
      </c>
      <c r="G17" s="165">
        <f t="shared" si="1"/>
        <v>0.23076923076923078</v>
      </c>
      <c r="H17" s="150">
        <f>RESPUESTAS!P$144/3</f>
        <v>33</v>
      </c>
      <c r="I17" s="165">
        <f t="shared" si="2"/>
        <v>0.25384615384615383</v>
      </c>
      <c r="J17" s="150">
        <f>RESPUESTAS!P$145/4</f>
        <v>34</v>
      </c>
      <c r="K17" s="165">
        <f t="shared" si="3"/>
        <v>0.26153846153846155</v>
      </c>
      <c r="L17" s="152">
        <f>RESPUESTAS!P$146/5</f>
        <v>20</v>
      </c>
      <c r="M17" s="167">
        <f t="shared" si="4"/>
        <v>0.15384615384615385</v>
      </c>
      <c r="N17" s="146">
        <f t="shared" si="5"/>
        <v>130</v>
      </c>
      <c r="O17" s="169">
        <f t="shared" si="6"/>
        <v>1</v>
      </c>
    </row>
    <row r="18" spans="1:15" ht="14.25" x14ac:dyDescent="0.2">
      <c r="A18" s="152">
        <v>14</v>
      </c>
      <c r="B18" s="280" t="s">
        <v>21</v>
      </c>
      <c r="C18" s="149" t="s">
        <v>22</v>
      </c>
      <c r="D18" s="150">
        <f>RESPUESTAS!Q$142/1</f>
        <v>11</v>
      </c>
      <c r="E18" s="165">
        <f t="shared" si="0"/>
        <v>8.461538461538462E-2</v>
      </c>
      <c r="F18" s="150">
        <f>RESPUESTAS!Q$143/2</f>
        <v>7</v>
      </c>
      <c r="G18" s="165">
        <f t="shared" si="1"/>
        <v>5.3846153846153849E-2</v>
      </c>
      <c r="H18" s="150">
        <f>RESPUESTAS!Q$144/3</f>
        <v>27</v>
      </c>
      <c r="I18" s="165">
        <f t="shared" si="2"/>
        <v>0.2076923076923077</v>
      </c>
      <c r="J18" s="150">
        <f>RESPUESTAS!Q$145/4</f>
        <v>35</v>
      </c>
      <c r="K18" s="165">
        <f t="shared" si="3"/>
        <v>0.26923076923076922</v>
      </c>
      <c r="L18" s="152">
        <f>RESPUESTAS!Q$146/5</f>
        <v>50</v>
      </c>
      <c r="M18" s="167">
        <f t="shared" si="4"/>
        <v>0.38461538461538464</v>
      </c>
      <c r="N18" s="146">
        <f t="shared" si="5"/>
        <v>130</v>
      </c>
      <c r="O18" s="169">
        <f t="shared" si="6"/>
        <v>1</v>
      </c>
    </row>
    <row r="19" spans="1:15" ht="14.25" x14ac:dyDescent="0.2">
      <c r="A19" s="151">
        <v>15</v>
      </c>
      <c r="B19" s="278"/>
      <c r="C19" s="149" t="s">
        <v>23</v>
      </c>
      <c r="D19" s="150">
        <f>RESPUESTAS!R$142/1</f>
        <v>14</v>
      </c>
      <c r="E19" s="165">
        <f t="shared" si="0"/>
        <v>0.1076923076923077</v>
      </c>
      <c r="F19" s="150">
        <f>RESPUESTAS!R$143/2</f>
        <v>13</v>
      </c>
      <c r="G19" s="165">
        <f t="shared" si="1"/>
        <v>0.1</v>
      </c>
      <c r="H19" s="150">
        <f>RESPUESTAS!R$144/3</f>
        <v>34</v>
      </c>
      <c r="I19" s="165">
        <f t="shared" si="2"/>
        <v>0.26153846153846155</v>
      </c>
      <c r="J19" s="150">
        <f>RESPUESTAS!R$145/4</f>
        <v>28</v>
      </c>
      <c r="K19" s="165">
        <f t="shared" si="3"/>
        <v>0.2153846153846154</v>
      </c>
      <c r="L19" s="152">
        <f>RESPUESTAS!R$146/5</f>
        <v>41</v>
      </c>
      <c r="M19" s="167">
        <f t="shared" si="4"/>
        <v>0.31538461538461537</v>
      </c>
      <c r="N19" s="146">
        <f t="shared" si="5"/>
        <v>130</v>
      </c>
      <c r="O19" s="169">
        <f t="shared" si="6"/>
        <v>1</v>
      </c>
    </row>
    <row r="20" spans="1:15" ht="14.25" x14ac:dyDescent="0.2">
      <c r="A20" s="152">
        <v>16</v>
      </c>
      <c r="B20" s="278"/>
      <c r="C20" s="149" t="s">
        <v>24</v>
      </c>
      <c r="D20" s="150">
        <f>RESPUESTAS!S$142/1</f>
        <v>20</v>
      </c>
      <c r="E20" s="165">
        <f t="shared" si="0"/>
        <v>0.15384615384615385</v>
      </c>
      <c r="F20" s="150">
        <f>RESPUESTAS!S$143/2</f>
        <v>15</v>
      </c>
      <c r="G20" s="165">
        <f t="shared" si="1"/>
        <v>0.11538461538461539</v>
      </c>
      <c r="H20" s="150">
        <f>RESPUESTAS!S$144/3</f>
        <v>26</v>
      </c>
      <c r="I20" s="165">
        <f t="shared" si="2"/>
        <v>0.2</v>
      </c>
      <c r="J20" s="150">
        <f>RESPUESTAS!S$145/4</f>
        <v>38</v>
      </c>
      <c r="K20" s="165">
        <f t="shared" si="3"/>
        <v>0.29230769230769232</v>
      </c>
      <c r="L20" s="152">
        <f>RESPUESTAS!S$146/5</f>
        <v>31</v>
      </c>
      <c r="M20" s="167">
        <f t="shared" si="4"/>
        <v>0.23846153846153847</v>
      </c>
      <c r="N20" s="146">
        <f t="shared" si="5"/>
        <v>130</v>
      </c>
      <c r="O20" s="169">
        <f t="shared" si="6"/>
        <v>1</v>
      </c>
    </row>
    <row r="21" spans="1:15" ht="14.25" x14ac:dyDescent="0.2">
      <c r="A21" s="151">
        <v>17</v>
      </c>
      <c r="B21" s="277" t="s">
        <v>25</v>
      </c>
      <c r="C21" s="149" t="s">
        <v>316</v>
      </c>
      <c r="D21" s="150">
        <f>RESPUESTAS!T$142/1</f>
        <v>3</v>
      </c>
      <c r="E21" s="165">
        <f t="shared" si="0"/>
        <v>2.3076923076923078E-2</v>
      </c>
      <c r="F21" s="150">
        <f>RESPUESTAS!T$143/2</f>
        <v>7</v>
      </c>
      <c r="G21" s="165">
        <f t="shared" si="1"/>
        <v>5.3846153846153849E-2</v>
      </c>
      <c r="H21" s="150">
        <f>RESPUESTAS!T$144/3</f>
        <v>25</v>
      </c>
      <c r="I21" s="165">
        <f t="shared" si="2"/>
        <v>0.19230769230769232</v>
      </c>
      <c r="J21" s="150">
        <f>RESPUESTAS!T$145/4</f>
        <v>35</v>
      </c>
      <c r="K21" s="165">
        <f t="shared" si="3"/>
        <v>0.26923076923076922</v>
      </c>
      <c r="L21" s="152">
        <f>RESPUESTAS!T$146/5</f>
        <v>60</v>
      </c>
      <c r="M21" s="167">
        <f t="shared" si="4"/>
        <v>0.46153846153846156</v>
      </c>
      <c r="N21" s="146">
        <f t="shared" si="5"/>
        <v>130</v>
      </c>
      <c r="O21" s="169">
        <f t="shared" si="6"/>
        <v>1</v>
      </c>
    </row>
    <row r="22" spans="1:15" ht="14.25" x14ac:dyDescent="0.2">
      <c r="A22" s="152">
        <v>18</v>
      </c>
      <c r="B22" s="278"/>
      <c r="C22" s="149" t="s">
        <v>317</v>
      </c>
      <c r="D22" s="150">
        <f>RESPUESTAS!U$142/1</f>
        <v>3</v>
      </c>
      <c r="E22" s="165">
        <f t="shared" si="0"/>
        <v>2.3076923076923078E-2</v>
      </c>
      <c r="F22" s="150">
        <f>RESPUESTAS!U$143/2</f>
        <v>4</v>
      </c>
      <c r="G22" s="165">
        <f t="shared" si="1"/>
        <v>3.0769230769230771E-2</v>
      </c>
      <c r="H22" s="150">
        <f>RESPUESTAS!U$144/3</f>
        <v>25</v>
      </c>
      <c r="I22" s="165">
        <f t="shared" si="2"/>
        <v>0.19230769230769232</v>
      </c>
      <c r="J22" s="150">
        <f>RESPUESTAS!U$145/4</f>
        <v>41</v>
      </c>
      <c r="K22" s="165">
        <f t="shared" si="3"/>
        <v>0.31538461538461537</v>
      </c>
      <c r="L22" s="152">
        <f>RESPUESTAS!U$146/5</f>
        <v>57</v>
      </c>
      <c r="M22" s="167">
        <f t="shared" si="4"/>
        <v>0.43846153846153846</v>
      </c>
      <c r="N22" s="146">
        <f t="shared" si="5"/>
        <v>130</v>
      </c>
      <c r="O22" s="169">
        <f t="shared" si="6"/>
        <v>1</v>
      </c>
    </row>
    <row r="23" spans="1:15" ht="14.25" x14ac:dyDescent="0.2">
      <c r="A23" s="151">
        <v>19</v>
      </c>
      <c r="B23" s="278"/>
      <c r="C23" s="149" t="s">
        <v>26</v>
      </c>
      <c r="D23" s="150">
        <f>RESPUESTAS!V$142/1</f>
        <v>7</v>
      </c>
      <c r="E23" s="165">
        <f t="shared" si="0"/>
        <v>5.3846153846153849E-2</v>
      </c>
      <c r="F23" s="150">
        <f>RESPUESTAS!V$143/2</f>
        <v>9</v>
      </c>
      <c r="G23" s="165">
        <f t="shared" si="1"/>
        <v>6.9230769230769235E-2</v>
      </c>
      <c r="H23" s="150">
        <f>RESPUESTAS!V$144/3</f>
        <v>34</v>
      </c>
      <c r="I23" s="165">
        <f t="shared" si="2"/>
        <v>0.26153846153846155</v>
      </c>
      <c r="J23" s="150">
        <f>RESPUESTAS!V$145/4</f>
        <v>38</v>
      </c>
      <c r="K23" s="165">
        <f t="shared" si="3"/>
        <v>0.29230769230769232</v>
      </c>
      <c r="L23" s="152">
        <f>RESPUESTAS!V$146/5</f>
        <v>42</v>
      </c>
      <c r="M23" s="167">
        <f t="shared" si="4"/>
        <v>0.32307692307692309</v>
      </c>
      <c r="N23" s="146">
        <f t="shared" si="5"/>
        <v>130</v>
      </c>
      <c r="O23" s="169">
        <f t="shared" si="6"/>
        <v>1</v>
      </c>
    </row>
    <row r="24" spans="1:15" ht="14.25" x14ac:dyDescent="0.2">
      <c r="A24" s="152">
        <v>20</v>
      </c>
      <c r="B24" s="279" t="s">
        <v>27</v>
      </c>
      <c r="C24" s="149" t="s">
        <v>28</v>
      </c>
      <c r="D24" s="150">
        <f>RESPUESTAS!W$142/1</f>
        <v>4</v>
      </c>
      <c r="E24" s="165">
        <f t="shared" si="0"/>
        <v>3.0769230769230771E-2</v>
      </c>
      <c r="F24" s="150">
        <f>RESPUESTAS!W$143/2</f>
        <v>4</v>
      </c>
      <c r="G24" s="165">
        <f t="shared" si="1"/>
        <v>3.0769230769230771E-2</v>
      </c>
      <c r="H24" s="150">
        <f>RESPUESTAS!W$144/3</f>
        <v>21</v>
      </c>
      <c r="I24" s="165">
        <f t="shared" si="2"/>
        <v>0.16153846153846155</v>
      </c>
      <c r="J24" s="150">
        <f>RESPUESTAS!W$145/4</f>
        <v>49</v>
      </c>
      <c r="K24" s="165">
        <f t="shared" si="3"/>
        <v>0.37692307692307692</v>
      </c>
      <c r="L24" s="152">
        <f>RESPUESTAS!W$146/5</f>
        <v>52</v>
      </c>
      <c r="M24" s="167">
        <f t="shared" si="4"/>
        <v>0.4</v>
      </c>
      <c r="N24" s="146">
        <f t="shared" si="5"/>
        <v>130</v>
      </c>
      <c r="O24" s="169">
        <f t="shared" si="6"/>
        <v>1</v>
      </c>
    </row>
    <row r="25" spans="1:15" ht="14.25" x14ac:dyDescent="0.2">
      <c r="A25" s="151">
        <v>21</v>
      </c>
      <c r="B25" s="278"/>
      <c r="C25" s="149" t="s">
        <v>29</v>
      </c>
      <c r="D25" s="150">
        <f>RESPUESTAS!X$142/1</f>
        <v>1</v>
      </c>
      <c r="E25" s="165">
        <f t="shared" si="0"/>
        <v>7.6923076923076927E-3</v>
      </c>
      <c r="F25" s="150">
        <f>RESPUESTAS!X$143/2</f>
        <v>6</v>
      </c>
      <c r="G25" s="165">
        <f t="shared" si="1"/>
        <v>4.6153846153846156E-2</v>
      </c>
      <c r="H25" s="150">
        <f>RESPUESTAS!X$144/3</f>
        <v>11</v>
      </c>
      <c r="I25" s="165">
        <f t="shared" si="2"/>
        <v>8.461538461538462E-2</v>
      </c>
      <c r="J25" s="150">
        <f>RESPUESTAS!X$145/4</f>
        <v>57</v>
      </c>
      <c r="K25" s="165">
        <f t="shared" si="3"/>
        <v>0.43846153846153846</v>
      </c>
      <c r="L25" s="152">
        <f>RESPUESTAS!X$146/5</f>
        <v>55</v>
      </c>
      <c r="M25" s="167">
        <f t="shared" si="4"/>
        <v>0.42307692307692307</v>
      </c>
      <c r="N25" s="146">
        <f t="shared" si="5"/>
        <v>130</v>
      </c>
      <c r="O25" s="169">
        <f t="shared" si="6"/>
        <v>1</v>
      </c>
    </row>
    <row r="26" spans="1:15" ht="14.25" x14ac:dyDescent="0.2">
      <c r="A26" s="152">
        <v>22</v>
      </c>
      <c r="B26" s="278"/>
      <c r="C26" s="149" t="s">
        <v>30</v>
      </c>
      <c r="D26" s="150">
        <f>RESPUESTAS!Y$142/1</f>
        <v>2</v>
      </c>
      <c r="E26" s="165">
        <f t="shared" si="0"/>
        <v>1.5384615384615385E-2</v>
      </c>
      <c r="F26" s="150">
        <f>RESPUESTAS!Y$143/2</f>
        <v>6</v>
      </c>
      <c r="G26" s="165">
        <f t="shared" si="1"/>
        <v>4.6153846153846156E-2</v>
      </c>
      <c r="H26" s="150">
        <f>RESPUESTAS!Y$144/3</f>
        <v>9</v>
      </c>
      <c r="I26" s="165">
        <f t="shared" si="2"/>
        <v>6.9230769230769235E-2</v>
      </c>
      <c r="J26" s="150">
        <f>RESPUESTAS!Y$145/4</f>
        <v>48</v>
      </c>
      <c r="K26" s="165">
        <f t="shared" si="3"/>
        <v>0.36923076923076925</v>
      </c>
      <c r="L26" s="152">
        <f>RESPUESTAS!Y$146/5</f>
        <v>65</v>
      </c>
      <c r="M26" s="167">
        <f t="shared" si="4"/>
        <v>0.5</v>
      </c>
      <c r="N26" s="146">
        <f t="shared" si="5"/>
        <v>130</v>
      </c>
      <c r="O26" s="169">
        <f t="shared" si="6"/>
        <v>1</v>
      </c>
    </row>
    <row r="27" spans="1:15" ht="14.25" x14ac:dyDescent="0.2">
      <c r="A27" s="151">
        <v>23</v>
      </c>
      <c r="B27" s="281" t="s">
        <v>31</v>
      </c>
      <c r="C27" s="149" t="s">
        <v>32</v>
      </c>
      <c r="D27" s="150">
        <f>RESPUESTAS!Z$142/1</f>
        <v>1</v>
      </c>
      <c r="E27" s="165">
        <f t="shared" si="0"/>
        <v>7.6923076923076927E-3</v>
      </c>
      <c r="F27" s="150">
        <f>RESPUESTAS!Z$143/2</f>
        <v>2</v>
      </c>
      <c r="G27" s="165">
        <f t="shared" si="1"/>
        <v>1.5384615384615385E-2</v>
      </c>
      <c r="H27" s="150">
        <f>RESPUESTAS!Z$144/3</f>
        <v>28</v>
      </c>
      <c r="I27" s="165">
        <f t="shared" si="2"/>
        <v>0.2153846153846154</v>
      </c>
      <c r="J27" s="150">
        <f>RESPUESTAS!Z$145/4</f>
        <v>56</v>
      </c>
      <c r="K27" s="165">
        <f t="shared" si="3"/>
        <v>0.43076923076923079</v>
      </c>
      <c r="L27" s="152">
        <f>RESPUESTAS!Z$146/5</f>
        <v>43</v>
      </c>
      <c r="M27" s="167">
        <f t="shared" si="4"/>
        <v>0.33076923076923076</v>
      </c>
      <c r="N27" s="146">
        <f t="shared" si="5"/>
        <v>130</v>
      </c>
      <c r="O27" s="169">
        <f t="shared" si="6"/>
        <v>1</v>
      </c>
    </row>
    <row r="28" spans="1:15" ht="14.25" x14ac:dyDescent="0.2">
      <c r="A28" s="152">
        <v>24</v>
      </c>
      <c r="B28" s="278"/>
      <c r="C28" s="149" t="s">
        <v>33</v>
      </c>
      <c r="D28" s="150">
        <f>RESPUESTAS!AA$142/1</f>
        <v>15</v>
      </c>
      <c r="E28" s="165">
        <f t="shared" si="0"/>
        <v>0.11538461538461539</v>
      </c>
      <c r="F28" s="150">
        <f>RESPUESTAS!AA$143/2</f>
        <v>24</v>
      </c>
      <c r="G28" s="165">
        <f t="shared" si="1"/>
        <v>0.18461538461538463</v>
      </c>
      <c r="H28" s="150">
        <f>RESPUESTAS!AA$144/3</f>
        <v>32</v>
      </c>
      <c r="I28" s="165">
        <f t="shared" si="2"/>
        <v>0.24615384615384617</v>
      </c>
      <c r="J28" s="150">
        <f>RESPUESTAS!AA$145/4</f>
        <v>33</v>
      </c>
      <c r="K28" s="165">
        <f t="shared" si="3"/>
        <v>0.25384615384615383</v>
      </c>
      <c r="L28" s="152">
        <f>RESPUESTAS!AA$146/5</f>
        <v>26</v>
      </c>
      <c r="M28" s="167">
        <f t="shared" si="4"/>
        <v>0.2</v>
      </c>
      <c r="N28" s="146">
        <f t="shared" si="5"/>
        <v>130</v>
      </c>
      <c r="O28" s="169">
        <f t="shared" si="6"/>
        <v>1</v>
      </c>
    </row>
    <row r="29" spans="1:15" ht="14.25" x14ac:dyDescent="0.2">
      <c r="A29" s="151">
        <v>25</v>
      </c>
      <c r="B29" s="278"/>
      <c r="C29" s="149" t="s">
        <v>34</v>
      </c>
      <c r="D29" s="150">
        <f>RESPUESTAS!AB$142/1</f>
        <v>22</v>
      </c>
      <c r="E29" s="165">
        <f t="shared" si="0"/>
        <v>0.16923076923076924</v>
      </c>
      <c r="F29" s="150">
        <f>RESPUESTAS!AB$143/2</f>
        <v>26</v>
      </c>
      <c r="G29" s="165">
        <f t="shared" si="1"/>
        <v>0.2</v>
      </c>
      <c r="H29" s="150">
        <f>RESPUESTAS!AB$144/3</f>
        <v>32</v>
      </c>
      <c r="I29" s="165">
        <f t="shared" si="2"/>
        <v>0.24615384615384617</v>
      </c>
      <c r="J29" s="150">
        <f>RESPUESTAS!AB$145/4</f>
        <v>26</v>
      </c>
      <c r="K29" s="165">
        <f t="shared" si="3"/>
        <v>0.2</v>
      </c>
      <c r="L29" s="152">
        <f>RESPUESTAS!AB$146/5</f>
        <v>24</v>
      </c>
      <c r="M29" s="167">
        <f t="shared" si="4"/>
        <v>0.18461538461538463</v>
      </c>
      <c r="N29" s="146">
        <f t="shared" si="5"/>
        <v>130</v>
      </c>
      <c r="O29" s="169">
        <f t="shared" si="6"/>
        <v>1</v>
      </c>
    </row>
    <row r="30" spans="1:15" ht="14.25" x14ac:dyDescent="0.2">
      <c r="A30" s="152">
        <v>26</v>
      </c>
      <c r="B30" s="278"/>
      <c r="C30" s="149" t="s">
        <v>35</v>
      </c>
      <c r="D30" s="150">
        <f>RESPUESTAS!AC$142/1</f>
        <v>21</v>
      </c>
      <c r="E30" s="165">
        <f t="shared" si="0"/>
        <v>0.16153846153846155</v>
      </c>
      <c r="F30" s="150">
        <f>RESPUESTAS!AC$143/2</f>
        <v>32</v>
      </c>
      <c r="G30" s="165">
        <f t="shared" si="1"/>
        <v>0.24615384615384617</v>
      </c>
      <c r="H30" s="150">
        <f>RESPUESTAS!AC$144/3</f>
        <v>31</v>
      </c>
      <c r="I30" s="165">
        <f t="shared" si="2"/>
        <v>0.23846153846153847</v>
      </c>
      <c r="J30" s="150">
        <f>RESPUESTAS!AC$145/4</f>
        <v>29</v>
      </c>
      <c r="K30" s="165">
        <f t="shared" si="3"/>
        <v>0.22307692307692309</v>
      </c>
      <c r="L30" s="152">
        <f>RESPUESTAS!AC$146/5</f>
        <v>17</v>
      </c>
      <c r="M30" s="167">
        <f t="shared" si="4"/>
        <v>0.13076923076923078</v>
      </c>
      <c r="N30" s="146">
        <f t="shared" si="5"/>
        <v>130</v>
      </c>
      <c r="O30" s="169">
        <f t="shared" si="6"/>
        <v>1</v>
      </c>
    </row>
    <row r="31" spans="1:15" ht="14.25" x14ac:dyDescent="0.2">
      <c r="A31" s="151">
        <v>27</v>
      </c>
      <c r="B31" s="282" t="s">
        <v>36</v>
      </c>
      <c r="C31" s="149" t="s">
        <v>37</v>
      </c>
      <c r="D31" s="150">
        <f>RESPUESTAS!AD$142/1</f>
        <v>3</v>
      </c>
      <c r="E31" s="165">
        <f t="shared" si="0"/>
        <v>2.3076923076923078E-2</v>
      </c>
      <c r="F31" s="150">
        <f>RESPUESTAS!AD$143/2</f>
        <v>9</v>
      </c>
      <c r="G31" s="165">
        <f t="shared" si="1"/>
        <v>6.9230769230769235E-2</v>
      </c>
      <c r="H31" s="150">
        <f>RESPUESTAS!AD$144/3</f>
        <v>18</v>
      </c>
      <c r="I31" s="165">
        <f t="shared" si="2"/>
        <v>0.13846153846153847</v>
      </c>
      <c r="J31" s="150">
        <f>RESPUESTAS!AD$145/4</f>
        <v>49</v>
      </c>
      <c r="K31" s="165">
        <f t="shared" si="3"/>
        <v>0.37692307692307692</v>
      </c>
      <c r="L31" s="152">
        <f>RESPUESTAS!AD$146/5</f>
        <v>51</v>
      </c>
      <c r="M31" s="167">
        <f t="shared" si="4"/>
        <v>0.3923076923076923</v>
      </c>
      <c r="N31" s="146">
        <f t="shared" si="5"/>
        <v>130</v>
      </c>
      <c r="O31" s="169">
        <f t="shared" si="6"/>
        <v>1</v>
      </c>
    </row>
    <row r="32" spans="1:15" ht="14.25" x14ac:dyDescent="0.2">
      <c r="A32" s="152">
        <v>28</v>
      </c>
      <c r="B32" s="278"/>
      <c r="C32" s="149" t="s">
        <v>38</v>
      </c>
      <c r="D32" s="150">
        <f>RESPUESTAS!AE$142/1</f>
        <v>3</v>
      </c>
      <c r="E32" s="165">
        <f t="shared" si="0"/>
        <v>2.3076923076923078E-2</v>
      </c>
      <c r="F32" s="150">
        <f>RESPUESTAS!AE$143/2</f>
        <v>5</v>
      </c>
      <c r="G32" s="165">
        <f t="shared" si="1"/>
        <v>3.8461538461538464E-2</v>
      </c>
      <c r="H32" s="150">
        <f>RESPUESTAS!AE$144/3</f>
        <v>26</v>
      </c>
      <c r="I32" s="165">
        <f t="shared" si="2"/>
        <v>0.2</v>
      </c>
      <c r="J32" s="150">
        <f>RESPUESTAS!AE$145/4</f>
        <v>49</v>
      </c>
      <c r="K32" s="165">
        <f t="shared" si="3"/>
        <v>0.37692307692307692</v>
      </c>
      <c r="L32" s="152">
        <f>RESPUESTAS!AE$146/5</f>
        <v>47</v>
      </c>
      <c r="M32" s="167">
        <f t="shared" si="4"/>
        <v>0.36153846153846153</v>
      </c>
      <c r="N32" s="146">
        <f t="shared" si="5"/>
        <v>130</v>
      </c>
      <c r="O32" s="169">
        <f t="shared" si="6"/>
        <v>1</v>
      </c>
    </row>
    <row r="33" spans="1:15" ht="14.25" x14ac:dyDescent="0.2">
      <c r="A33" s="151">
        <v>29</v>
      </c>
      <c r="B33" s="278"/>
      <c r="C33" s="149" t="s">
        <v>39</v>
      </c>
      <c r="D33" s="150">
        <f>RESPUESTAS!AF$142/1</f>
        <v>4</v>
      </c>
      <c r="E33" s="165">
        <f t="shared" si="0"/>
        <v>3.0769230769230771E-2</v>
      </c>
      <c r="F33" s="150">
        <f>RESPUESTAS!AF$143/2</f>
        <v>5</v>
      </c>
      <c r="G33" s="165">
        <f t="shared" si="1"/>
        <v>3.8461538461538464E-2</v>
      </c>
      <c r="H33" s="150">
        <f>RESPUESTAS!AF$144/3</f>
        <v>30</v>
      </c>
      <c r="I33" s="165">
        <f t="shared" si="2"/>
        <v>0.23076923076923078</v>
      </c>
      <c r="J33" s="150">
        <f>RESPUESTAS!AF$145/4</f>
        <v>47</v>
      </c>
      <c r="K33" s="165">
        <f t="shared" si="3"/>
        <v>0.36153846153846153</v>
      </c>
      <c r="L33" s="152">
        <f>RESPUESTAS!AF$146/5</f>
        <v>44</v>
      </c>
      <c r="M33" s="167">
        <f t="shared" si="4"/>
        <v>0.33846153846153848</v>
      </c>
      <c r="N33" s="146">
        <f t="shared" si="5"/>
        <v>130</v>
      </c>
      <c r="O33" s="169">
        <f t="shared" si="6"/>
        <v>1</v>
      </c>
    </row>
    <row r="34" spans="1:15" ht="14.25" x14ac:dyDescent="0.2">
      <c r="A34" s="152">
        <v>30</v>
      </c>
      <c r="B34" s="278"/>
      <c r="C34" s="149" t="s">
        <v>40</v>
      </c>
      <c r="D34" s="150">
        <f>RESPUESTAS!AG$142/1</f>
        <v>3</v>
      </c>
      <c r="E34" s="165">
        <f t="shared" si="0"/>
        <v>2.3076923076923078E-2</v>
      </c>
      <c r="F34" s="150">
        <f>RESPUESTAS!AG$143/2</f>
        <v>6</v>
      </c>
      <c r="G34" s="165">
        <f t="shared" si="1"/>
        <v>4.6153846153846156E-2</v>
      </c>
      <c r="H34" s="150">
        <f>RESPUESTAS!AG$144/3</f>
        <v>29</v>
      </c>
      <c r="I34" s="165">
        <f t="shared" si="2"/>
        <v>0.22307692307692309</v>
      </c>
      <c r="J34" s="150">
        <f>RESPUESTAS!AG$145/4</f>
        <v>52</v>
      </c>
      <c r="K34" s="165">
        <f t="shared" si="3"/>
        <v>0.4</v>
      </c>
      <c r="L34" s="152">
        <f>RESPUESTAS!AG$146/5</f>
        <v>40</v>
      </c>
      <c r="M34" s="167">
        <f t="shared" si="4"/>
        <v>0.30769230769230771</v>
      </c>
      <c r="N34" s="146">
        <f t="shared" si="5"/>
        <v>130</v>
      </c>
      <c r="O34" s="169">
        <f t="shared" si="6"/>
        <v>1</v>
      </c>
    </row>
    <row r="35" spans="1:15" ht="14.25" x14ac:dyDescent="0.2">
      <c r="A35" s="151">
        <v>31</v>
      </c>
      <c r="B35" s="283" t="s">
        <v>41</v>
      </c>
      <c r="C35" s="149" t="s">
        <v>42</v>
      </c>
      <c r="D35" s="150">
        <f>RESPUESTAS!AH$142/1</f>
        <v>7</v>
      </c>
      <c r="E35" s="165">
        <f t="shared" si="0"/>
        <v>5.3846153846153849E-2</v>
      </c>
      <c r="F35" s="150">
        <f>RESPUESTAS!AH$143/2</f>
        <v>16</v>
      </c>
      <c r="G35" s="165">
        <f t="shared" si="1"/>
        <v>0.12307692307692308</v>
      </c>
      <c r="H35" s="150">
        <f>RESPUESTAS!AH$144/3</f>
        <v>37</v>
      </c>
      <c r="I35" s="165">
        <f t="shared" si="2"/>
        <v>0.2846153846153846</v>
      </c>
      <c r="J35" s="150">
        <f>RESPUESTAS!AH$145/4</f>
        <v>42</v>
      </c>
      <c r="K35" s="165">
        <f t="shared" si="3"/>
        <v>0.32307692307692309</v>
      </c>
      <c r="L35" s="152">
        <f>RESPUESTAS!AH$146/5</f>
        <v>28</v>
      </c>
      <c r="M35" s="167">
        <f t="shared" si="4"/>
        <v>0.2153846153846154</v>
      </c>
      <c r="N35" s="146">
        <f t="shared" si="5"/>
        <v>130</v>
      </c>
      <c r="O35" s="169">
        <f t="shared" si="6"/>
        <v>1</v>
      </c>
    </row>
    <row r="36" spans="1:15" ht="14.25" x14ac:dyDescent="0.2">
      <c r="A36" s="152">
        <v>32</v>
      </c>
      <c r="B36" s="278"/>
      <c r="C36" s="149" t="s">
        <v>43</v>
      </c>
      <c r="D36" s="150">
        <f>RESPUESTAS!AI$142/1</f>
        <v>23</v>
      </c>
      <c r="E36" s="165">
        <f t="shared" si="0"/>
        <v>0.17692307692307693</v>
      </c>
      <c r="F36" s="150">
        <f>RESPUESTAS!AI$143/2</f>
        <v>18</v>
      </c>
      <c r="G36" s="165">
        <f t="shared" si="1"/>
        <v>0.13846153846153847</v>
      </c>
      <c r="H36" s="150">
        <f>RESPUESTAS!AI$144/3</f>
        <v>44</v>
      </c>
      <c r="I36" s="165">
        <f t="shared" si="2"/>
        <v>0.33846153846153848</v>
      </c>
      <c r="J36" s="150">
        <f>RESPUESTAS!AI$145/4</f>
        <v>21</v>
      </c>
      <c r="K36" s="165">
        <f t="shared" si="3"/>
        <v>0.16153846153846155</v>
      </c>
      <c r="L36" s="152">
        <f>RESPUESTAS!AI$146/5</f>
        <v>24</v>
      </c>
      <c r="M36" s="167">
        <f t="shared" si="4"/>
        <v>0.18461538461538463</v>
      </c>
      <c r="N36" s="146">
        <f t="shared" si="5"/>
        <v>130</v>
      </c>
      <c r="O36" s="169">
        <f t="shared" si="6"/>
        <v>1</v>
      </c>
    </row>
    <row r="37" spans="1:15" ht="14.25" x14ac:dyDescent="0.2">
      <c r="A37" s="151">
        <v>33</v>
      </c>
      <c r="B37" s="278"/>
      <c r="C37" s="149" t="s">
        <v>44</v>
      </c>
      <c r="D37" s="150">
        <f>RESPUESTAS!AJ$142/1</f>
        <v>3</v>
      </c>
      <c r="E37" s="165">
        <f t="shared" si="0"/>
        <v>2.3076923076923078E-2</v>
      </c>
      <c r="F37" s="150">
        <f>RESPUESTAS!AJ$143/2</f>
        <v>7</v>
      </c>
      <c r="G37" s="165">
        <f t="shared" si="1"/>
        <v>5.3846153846153849E-2</v>
      </c>
      <c r="H37" s="150">
        <f>RESPUESTAS!AJ$144/3</f>
        <v>20</v>
      </c>
      <c r="I37" s="165">
        <f t="shared" si="2"/>
        <v>0.15384615384615385</v>
      </c>
      <c r="J37" s="150">
        <f>RESPUESTAS!AJ$145/4</f>
        <v>44</v>
      </c>
      <c r="K37" s="165">
        <f t="shared" si="3"/>
        <v>0.33846153846153848</v>
      </c>
      <c r="L37" s="152">
        <f>RESPUESTAS!AJ$146/5</f>
        <v>56</v>
      </c>
      <c r="M37" s="167">
        <f t="shared" si="4"/>
        <v>0.43076923076923079</v>
      </c>
      <c r="N37" s="146">
        <f t="shared" si="5"/>
        <v>130</v>
      </c>
      <c r="O37" s="169">
        <f t="shared" si="6"/>
        <v>1</v>
      </c>
    </row>
    <row r="38" spans="1:15" ht="14.25" x14ac:dyDescent="0.2">
      <c r="A38" s="152">
        <v>34</v>
      </c>
      <c r="B38" s="278"/>
      <c r="C38" s="149" t="s">
        <v>45</v>
      </c>
      <c r="D38" s="150">
        <f>RESPUESTAS!AK$142/1</f>
        <v>23</v>
      </c>
      <c r="E38" s="165">
        <f t="shared" si="0"/>
        <v>0.17692307692307693</v>
      </c>
      <c r="F38" s="150">
        <f>RESPUESTAS!AK$143/2</f>
        <v>20</v>
      </c>
      <c r="G38" s="165">
        <f t="shared" si="1"/>
        <v>0.15384615384615385</v>
      </c>
      <c r="H38" s="150">
        <f>RESPUESTAS!AK$144/3</f>
        <v>28</v>
      </c>
      <c r="I38" s="165">
        <f t="shared" si="2"/>
        <v>0.2153846153846154</v>
      </c>
      <c r="J38" s="150">
        <f>RESPUESTAS!AK$145/4</f>
        <v>35</v>
      </c>
      <c r="K38" s="165">
        <f t="shared" si="3"/>
        <v>0.26923076923076922</v>
      </c>
      <c r="L38" s="152">
        <f>RESPUESTAS!AK$146/5</f>
        <v>24</v>
      </c>
      <c r="M38" s="167">
        <f t="shared" si="4"/>
        <v>0.18461538461538463</v>
      </c>
      <c r="N38" s="146">
        <f t="shared" si="5"/>
        <v>130</v>
      </c>
      <c r="O38" s="169">
        <f t="shared" si="6"/>
        <v>1</v>
      </c>
    </row>
    <row r="39" spans="1:15" ht="14.25" x14ac:dyDescent="0.2">
      <c r="A39" s="151">
        <v>35</v>
      </c>
      <c r="B39" s="279" t="s">
        <v>46</v>
      </c>
      <c r="C39" s="149" t="s">
        <v>47</v>
      </c>
      <c r="D39" s="150">
        <f>RESPUESTAS!AL$142/1</f>
        <v>5</v>
      </c>
      <c r="E39" s="165">
        <f t="shared" si="0"/>
        <v>3.8461538461538464E-2</v>
      </c>
      <c r="F39" s="150">
        <f>RESPUESTAS!AL$143/2</f>
        <v>8</v>
      </c>
      <c r="G39" s="165">
        <f t="shared" si="1"/>
        <v>6.1538461538461542E-2</v>
      </c>
      <c r="H39" s="150">
        <f>RESPUESTAS!AL$144/3</f>
        <v>21</v>
      </c>
      <c r="I39" s="165">
        <f t="shared" si="2"/>
        <v>0.16153846153846155</v>
      </c>
      <c r="J39" s="150">
        <f>RESPUESTAS!AL$145/4</f>
        <v>40</v>
      </c>
      <c r="K39" s="165">
        <f t="shared" si="3"/>
        <v>0.30769230769230771</v>
      </c>
      <c r="L39" s="152">
        <f>RESPUESTAS!AL$146/5</f>
        <v>56</v>
      </c>
      <c r="M39" s="167">
        <f t="shared" si="4"/>
        <v>0.43076923076923079</v>
      </c>
      <c r="N39" s="146">
        <f t="shared" si="5"/>
        <v>130</v>
      </c>
      <c r="O39" s="169">
        <f t="shared" si="6"/>
        <v>1</v>
      </c>
    </row>
    <row r="40" spans="1:15" ht="14.25" x14ac:dyDescent="0.2">
      <c r="A40" s="152">
        <v>36</v>
      </c>
      <c r="B40" s="278"/>
      <c r="C40" s="149" t="s">
        <v>48</v>
      </c>
      <c r="D40" s="150">
        <f>RESPUESTAS!AM$142/1</f>
        <v>3</v>
      </c>
      <c r="E40" s="165">
        <f t="shared" si="0"/>
        <v>2.3076923076923078E-2</v>
      </c>
      <c r="F40" s="150">
        <f>RESPUESTAS!AM$143/2</f>
        <v>7</v>
      </c>
      <c r="G40" s="165">
        <f t="shared" si="1"/>
        <v>5.3846153846153849E-2</v>
      </c>
      <c r="H40" s="150">
        <f>RESPUESTAS!AM$144/3</f>
        <v>24</v>
      </c>
      <c r="I40" s="165">
        <f t="shared" si="2"/>
        <v>0.18461538461538463</v>
      </c>
      <c r="J40" s="150">
        <f>RESPUESTAS!AM$145/4</f>
        <v>48</v>
      </c>
      <c r="K40" s="165">
        <f t="shared" si="3"/>
        <v>0.36923076923076925</v>
      </c>
      <c r="L40" s="152">
        <f>RESPUESTAS!AM$146/5</f>
        <v>48</v>
      </c>
      <c r="M40" s="167">
        <f t="shared" si="4"/>
        <v>0.36923076923076925</v>
      </c>
      <c r="N40" s="146">
        <f t="shared" si="5"/>
        <v>130</v>
      </c>
      <c r="O40" s="169">
        <f t="shared" si="6"/>
        <v>1</v>
      </c>
    </row>
    <row r="41" spans="1:15" ht="14.25" x14ac:dyDescent="0.2">
      <c r="A41" s="151">
        <v>37</v>
      </c>
      <c r="B41" s="278"/>
      <c r="C41" s="149" t="s">
        <v>49</v>
      </c>
      <c r="D41" s="150">
        <f>RESPUESTAS!AN$142/1</f>
        <v>11</v>
      </c>
      <c r="E41" s="165">
        <f t="shared" si="0"/>
        <v>8.461538461538462E-2</v>
      </c>
      <c r="F41" s="150">
        <f>RESPUESTAS!AN$143/2</f>
        <v>14</v>
      </c>
      <c r="G41" s="165">
        <f t="shared" si="1"/>
        <v>0.1076923076923077</v>
      </c>
      <c r="H41" s="150">
        <f>RESPUESTAS!AN$144/3</f>
        <v>29</v>
      </c>
      <c r="I41" s="165">
        <f t="shared" si="2"/>
        <v>0.22307692307692309</v>
      </c>
      <c r="J41" s="150">
        <f>RESPUESTAS!AN$145/4</f>
        <v>46</v>
      </c>
      <c r="K41" s="165">
        <f t="shared" si="3"/>
        <v>0.35384615384615387</v>
      </c>
      <c r="L41" s="152">
        <f>RESPUESTAS!AN$146/5</f>
        <v>30</v>
      </c>
      <c r="M41" s="167">
        <f t="shared" si="4"/>
        <v>0.23076923076923078</v>
      </c>
      <c r="N41" s="146">
        <f t="shared" si="5"/>
        <v>130</v>
      </c>
      <c r="O41" s="169">
        <f t="shared" si="6"/>
        <v>1</v>
      </c>
    </row>
    <row r="42" spans="1:15" ht="14.25" x14ac:dyDescent="0.2">
      <c r="A42" s="152">
        <v>38</v>
      </c>
      <c r="B42" s="278"/>
      <c r="C42" s="149" t="s">
        <v>50</v>
      </c>
      <c r="D42" s="150">
        <f>RESPUESTAS!AO$142/1</f>
        <v>12</v>
      </c>
      <c r="E42" s="165">
        <f t="shared" si="0"/>
        <v>9.2307692307692313E-2</v>
      </c>
      <c r="F42" s="150">
        <f>RESPUESTAS!AO$143/2</f>
        <v>11</v>
      </c>
      <c r="G42" s="165">
        <f t="shared" si="1"/>
        <v>8.461538461538462E-2</v>
      </c>
      <c r="H42" s="150">
        <f>RESPUESTAS!AO$144/3</f>
        <v>20</v>
      </c>
      <c r="I42" s="165">
        <f t="shared" si="2"/>
        <v>0.15384615384615385</v>
      </c>
      <c r="J42" s="150">
        <f>RESPUESTAS!AO$145/4</f>
        <v>40</v>
      </c>
      <c r="K42" s="165">
        <f t="shared" si="3"/>
        <v>0.30769230769230771</v>
      </c>
      <c r="L42" s="152">
        <f>RESPUESTAS!AO$146/5</f>
        <v>47</v>
      </c>
      <c r="M42" s="167">
        <f t="shared" si="4"/>
        <v>0.36153846153846153</v>
      </c>
      <c r="N42" s="146">
        <f t="shared" si="5"/>
        <v>130</v>
      </c>
      <c r="O42" s="169">
        <f t="shared" si="6"/>
        <v>1</v>
      </c>
    </row>
    <row r="43" spans="1:15" x14ac:dyDescent="0.2">
      <c r="B43" s="144"/>
    </row>
    <row r="44" spans="1:15" x14ac:dyDescent="0.2">
      <c r="B44" s="144"/>
    </row>
    <row r="45" spans="1:15" x14ac:dyDescent="0.2">
      <c r="B45" s="144"/>
    </row>
    <row r="46" spans="1:15" x14ac:dyDescent="0.2">
      <c r="B46" s="144"/>
    </row>
    <row r="47" spans="1:15" x14ac:dyDescent="0.2">
      <c r="B47" s="144"/>
    </row>
    <row r="48" spans="1:15" x14ac:dyDescent="0.2">
      <c r="B48" s="144"/>
    </row>
    <row r="49" spans="2:2" x14ac:dyDescent="0.2">
      <c r="B49" s="144"/>
    </row>
    <row r="50" spans="2:2" x14ac:dyDescent="0.2">
      <c r="B50" s="144"/>
    </row>
    <row r="51" spans="2:2" x14ac:dyDescent="0.2">
      <c r="B51" s="144"/>
    </row>
    <row r="52" spans="2:2" x14ac:dyDescent="0.2">
      <c r="B52" s="144"/>
    </row>
    <row r="53" spans="2:2" x14ac:dyDescent="0.2">
      <c r="B53" s="144"/>
    </row>
    <row r="54" spans="2:2" x14ac:dyDescent="0.2">
      <c r="B54" s="144"/>
    </row>
    <row r="55" spans="2:2" x14ac:dyDescent="0.2">
      <c r="B55" s="144"/>
    </row>
    <row r="56" spans="2:2" x14ac:dyDescent="0.2">
      <c r="B56" s="144"/>
    </row>
    <row r="57" spans="2:2" x14ac:dyDescent="0.2">
      <c r="B57" s="144"/>
    </row>
    <row r="58" spans="2:2" x14ac:dyDescent="0.2">
      <c r="B58" s="144"/>
    </row>
    <row r="59" spans="2:2" x14ac:dyDescent="0.2">
      <c r="B59" s="144"/>
    </row>
    <row r="60" spans="2:2" x14ac:dyDescent="0.2">
      <c r="B60" s="144"/>
    </row>
    <row r="61" spans="2:2" x14ac:dyDescent="0.2">
      <c r="B61" s="144"/>
    </row>
    <row r="62" spans="2:2" x14ac:dyDescent="0.2">
      <c r="B62" s="144"/>
    </row>
    <row r="63" spans="2:2" x14ac:dyDescent="0.2">
      <c r="B63" s="144"/>
    </row>
    <row r="64" spans="2:2" x14ac:dyDescent="0.2">
      <c r="B64" s="144"/>
    </row>
    <row r="65" spans="2:2" x14ac:dyDescent="0.2">
      <c r="B65" s="144"/>
    </row>
    <row r="66" spans="2:2" x14ac:dyDescent="0.2">
      <c r="B66" s="144"/>
    </row>
    <row r="67" spans="2:2" x14ac:dyDescent="0.2">
      <c r="B67" s="144"/>
    </row>
    <row r="68" spans="2:2" x14ac:dyDescent="0.2">
      <c r="B68" s="144"/>
    </row>
    <row r="69" spans="2:2" x14ac:dyDescent="0.2">
      <c r="B69" s="144"/>
    </row>
    <row r="70" spans="2:2" x14ac:dyDescent="0.2">
      <c r="B70" s="144"/>
    </row>
    <row r="71" spans="2:2" x14ac:dyDescent="0.2">
      <c r="B71" s="144"/>
    </row>
    <row r="72" spans="2:2" x14ac:dyDescent="0.2">
      <c r="B72" s="144"/>
    </row>
    <row r="73" spans="2:2" x14ac:dyDescent="0.2">
      <c r="B73" s="144"/>
    </row>
    <row r="74" spans="2:2" x14ac:dyDescent="0.2">
      <c r="B74" s="144"/>
    </row>
    <row r="75" spans="2:2" x14ac:dyDescent="0.2">
      <c r="B75" s="144"/>
    </row>
    <row r="76" spans="2:2" x14ac:dyDescent="0.2">
      <c r="B76" s="144"/>
    </row>
    <row r="77" spans="2:2" x14ac:dyDescent="0.2">
      <c r="B77" s="144"/>
    </row>
    <row r="78" spans="2:2" x14ac:dyDescent="0.2">
      <c r="B78" s="144"/>
    </row>
    <row r="79" spans="2:2" x14ac:dyDescent="0.2">
      <c r="B79" s="144"/>
    </row>
    <row r="80" spans="2:2" x14ac:dyDescent="0.2">
      <c r="B80" s="144"/>
    </row>
    <row r="81" spans="2:2" x14ac:dyDescent="0.2">
      <c r="B81" s="144"/>
    </row>
    <row r="82" spans="2:2" x14ac:dyDescent="0.2">
      <c r="B82" s="144"/>
    </row>
    <row r="83" spans="2:2" x14ac:dyDescent="0.2">
      <c r="B83" s="144"/>
    </row>
    <row r="84" spans="2:2" x14ac:dyDescent="0.2">
      <c r="B84" s="144"/>
    </row>
    <row r="85" spans="2:2" x14ac:dyDescent="0.2">
      <c r="B85" s="144"/>
    </row>
    <row r="86" spans="2:2" x14ac:dyDescent="0.2">
      <c r="B86" s="144"/>
    </row>
    <row r="87" spans="2:2" x14ac:dyDescent="0.2">
      <c r="B87" s="144"/>
    </row>
    <row r="88" spans="2:2" x14ac:dyDescent="0.2">
      <c r="B88" s="144"/>
    </row>
    <row r="89" spans="2:2" x14ac:dyDescent="0.2">
      <c r="B89" s="144"/>
    </row>
    <row r="90" spans="2:2" x14ac:dyDescent="0.2">
      <c r="B90" s="144"/>
    </row>
    <row r="91" spans="2:2" x14ac:dyDescent="0.2">
      <c r="B91" s="144"/>
    </row>
    <row r="92" spans="2:2" x14ac:dyDescent="0.2">
      <c r="B92" s="144"/>
    </row>
    <row r="93" spans="2:2" x14ac:dyDescent="0.2">
      <c r="B93" s="144"/>
    </row>
    <row r="94" spans="2:2" x14ac:dyDescent="0.2">
      <c r="B94" s="144"/>
    </row>
    <row r="95" spans="2:2" x14ac:dyDescent="0.2">
      <c r="B95" s="144"/>
    </row>
    <row r="96" spans="2:2" x14ac:dyDescent="0.2">
      <c r="B96" s="144"/>
    </row>
    <row r="97" spans="2:2" x14ac:dyDescent="0.2">
      <c r="B97" s="144"/>
    </row>
    <row r="98" spans="2:2" x14ac:dyDescent="0.2">
      <c r="B98" s="144"/>
    </row>
    <row r="99" spans="2:2" x14ac:dyDescent="0.2">
      <c r="B99" s="144"/>
    </row>
    <row r="100" spans="2:2" x14ac:dyDescent="0.2">
      <c r="B100" s="144"/>
    </row>
    <row r="101" spans="2:2" x14ac:dyDescent="0.2">
      <c r="B101" s="144"/>
    </row>
    <row r="102" spans="2:2" x14ac:dyDescent="0.2">
      <c r="B102" s="144"/>
    </row>
    <row r="103" spans="2:2" x14ac:dyDescent="0.2">
      <c r="B103" s="144"/>
    </row>
    <row r="104" spans="2:2" x14ac:dyDescent="0.2">
      <c r="B104" s="144"/>
    </row>
    <row r="105" spans="2:2" x14ac:dyDescent="0.2">
      <c r="B105" s="144"/>
    </row>
    <row r="106" spans="2:2" x14ac:dyDescent="0.2">
      <c r="B106" s="144"/>
    </row>
    <row r="107" spans="2:2" x14ac:dyDescent="0.2">
      <c r="B107" s="144"/>
    </row>
    <row r="108" spans="2:2" x14ac:dyDescent="0.2">
      <c r="B108" s="144"/>
    </row>
    <row r="109" spans="2:2" x14ac:dyDescent="0.2">
      <c r="B109" s="144"/>
    </row>
    <row r="110" spans="2:2" x14ac:dyDescent="0.2">
      <c r="B110" s="144"/>
    </row>
    <row r="111" spans="2:2" x14ac:dyDescent="0.2">
      <c r="B111" s="144"/>
    </row>
    <row r="112" spans="2:2" x14ac:dyDescent="0.2">
      <c r="B112" s="144"/>
    </row>
    <row r="113" spans="2:2" x14ac:dyDescent="0.2">
      <c r="B113" s="144"/>
    </row>
    <row r="114" spans="2:2" x14ac:dyDescent="0.2">
      <c r="B114" s="144"/>
    </row>
    <row r="115" spans="2:2" x14ac:dyDescent="0.2">
      <c r="B115" s="144"/>
    </row>
    <row r="116" spans="2:2" x14ac:dyDescent="0.2">
      <c r="B116" s="144"/>
    </row>
    <row r="117" spans="2:2" x14ac:dyDescent="0.2">
      <c r="B117" s="144"/>
    </row>
    <row r="118" spans="2:2" x14ac:dyDescent="0.2">
      <c r="B118" s="144"/>
    </row>
    <row r="119" spans="2:2" x14ac:dyDescent="0.2">
      <c r="B119" s="144"/>
    </row>
    <row r="120" spans="2:2" x14ac:dyDescent="0.2">
      <c r="B120" s="144"/>
    </row>
    <row r="121" spans="2:2" x14ac:dyDescent="0.2">
      <c r="B121" s="144"/>
    </row>
    <row r="122" spans="2:2" x14ac:dyDescent="0.2">
      <c r="B122" s="144"/>
    </row>
    <row r="123" spans="2:2" x14ac:dyDescent="0.2">
      <c r="B123" s="144"/>
    </row>
    <row r="124" spans="2:2" x14ac:dyDescent="0.2">
      <c r="B124" s="144"/>
    </row>
    <row r="125" spans="2:2" x14ac:dyDescent="0.2">
      <c r="B125" s="144"/>
    </row>
    <row r="126" spans="2:2" x14ac:dyDescent="0.2">
      <c r="B126" s="144"/>
    </row>
    <row r="127" spans="2:2" x14ac:dyDescent="0.2">
      <c r="B127" s="144"/>
    </row>
    <row r="128" spans="2:2" x14ac:dyDescent="0.2">
      <c r="B128" s="144"/>
    </row>
    <row r="129" spans="2:2" x14ac:dyDescent="0.2">
      <c r="B129" s="144"/>
    </row>
    <row r="130" spans="2:2" x14ac:dyDescent="0.2">
      <c r="B130" s="144"/>
    </row>
    <row r="131" spans="2:2" x14ac:dyDescent="0.2">
      <c r="B131" s="144"/>
    </row>
    <row r="132" spans="2:2" x14ac:dyDescent="0.2">
      <c r="B132" s="144"/>
    </row>
    <row r="133" spans="2:2" x14ac:dyDescent="0.2">
      <c r="B133" s="144"/>
    </row>
    <row r="134" spans="2:2" x14ac:dyDescent="0.2">
      <c r="B134" s="144"/>
    </row>
    <row r="135" spans="2:2" x14ac:dyDescent="0.2">
      <c r="B135" s="144"/>
    </row>
    <row r="136" spans="2:2" x14ac:dyDescent="0.2">
      <c r="B136" s="144"/>
    </row>
    <row r="137" spans="2:2" x14ac:dyDescent="0.2">
      <c r="B137" s="144"/>
    </row>
    <row r="138" spans="2:2" x14ac:dyDescent="0.2">
      <c r="B138" s="144"/>
    </row>
    <row r="139" spans="2:2" x14ac:dyDescent="0.2">
      <c r="B139" s="144"/>
    </row>
    <row r="140" spans="2:2" x14ac:dyDescent="0.2">
      <c r="B140" s="144"/>
    </row>
    <row r="141" spans="2:2" x14ac:dyDescent="0.2">
      <c r="B141" s="144"/>
    </row>
    <row r="142" spans="2:2" x14ac:dyDescent="0.2">
      <c r="B142" s="144"/>
    </row>
    <row r="143" spans="2:2" x14ac:dyDescent="0.2">
      <c r="B143" s="144"/>
    </row>
    <row r="144" spans="2:2" x14ac:dyDescent="0.2">
      <c r="B144" s="144"/>
    </row>
    <row r="145" spans="2:2" x14ac:dyDescent="0.2">
      <c r="B145" s="144"/>
    </row>
    <row r="146" spans="2:2" x14ac:dyDescent="0.2">
      <c r="B146" s="144"/>
    </row>
    <row r="147" spans="2:2" x14ac:dyDescent="0.2">
      <c r="B147" s="144"/>
    </row>
    <row r="148" spans="2:2" x14ac:dyDescent="0.2">
      <c r="B148" s="144"/>
    </row>
    <row r="149" spans="2:2" x14ac:dyDescent="0.2">
      <c r="B149" s="144"/>
    </row>
    <row r="150" spans="2:2" x14ac:dyDescent="0.2">
      <c r="B150" s="144"/>
    </row>
    <row r="151" spans="2:2" x14ac:dyDescent="0.2">
      <c r="B151" s="144"/>
    </row>
    <row r="152" spans="2:2" x14ac:dyDescent="0.2">
      <c r="B152" s="144"/>
    </row>
    <row r="153" spans="2:2" x14ac:dyDescent="0.2">
      <c r="B153" s="144"/>
    </row>
    <row r="154" spans="2:2" x14ac:dyDescent="0.2">
      <c r="B154" s="144"/>
    </row>
    <row r="155" spans="2:2" x14ac:dyDescent="0.2">
      <c r="B155" s="144"/>
    </row>
    <row r="156" spans="2:2" x14ac:dyDescent="0.2">
      <c r="B156" s="144"/>
    </row>
    <row r="157" spans="2:2" x14ac:dyDescent="0.2">
      <c r="B157" s="144"/>
    </row>
    <row r="158" spans="2:2" x14ac:dyDescent="0.2">
      <c r="B158" s="144"/>
    </row>
    <row r="159" spans="2:2" x14ac:dyDescent="0.2">
      <c r="B159" s="144"/>
    </row>
    <row r="160" spans="2:2" x14ac:dyDescent="0.2">
      <c r="B160" s="144"/>
    </row>
    <row r="161" spans="2:2" x14ac:dyDescent="0.2">
      <c r="B161" s="144"/>
    </row>
    <row r="162" spans="2:2" x14ac:dyDescent="0.2">
      <c r="B162" s="144"/>
    </row>
    <row r="163" spans="2:2" x14ac:dyDescent="0.2">
      <c r="B163" s="144"/>
    </row>
    <row r="164" spans="2:2" x14ac:dyDescent="0.2">
      <c r="B164" s="144"/>
    </row>
    <row r="165" spans="2:2" x14ac:dyDescent="0.2">
      <c r="B165" s="144"/>
    </row>
    <row r="166" spans="2:2" x14ac:dyDescent="0.2">
      <c r="B166" s="144"/>
    </row>
    <row r="167" spans="2:2" x14ac:dyDescent="0.2">
      <c r="B167" s="144"/>
    </row>
    <row r="168" spans="2:2" x14ac:dyDescent="0.2">
      <c r="B168" s="144"/>
    </row>
    <row r="169" spans="2:2" x14ac:dyDescent="0.2">
      <c r="B169" s="144"/>
    </row>
    <row r="170" spans="2:2" x14ac:dyDescent="0.2">
      <c r="B170" s="144"/>
    </row>
    <row r="171" spans="2:2" x14ac:dyDescent="0.2">
      <c r="B171" s="144"/>
    </row>
    <row r="172" spans="2:2" x14ac:dyDescent="0.2">
      <c r="B172" s="144"/>
    </row>
    <row r="173" spans="2:2" x14ac:dyDescent="0.2">
      <c r="B173" s="144"/>
    </row>
    <row r="174" spans="2:2" x14ac:dyDescent="0.2">
      <c r="B174" s="144"/>
    </row>
    <row r="175" spans="2:2" x14ac:dyDescent="0.2">
      <c r="B175" s="144"/>
    </row>
    <row r="176" spans="2:2" x14ac:dyDescent="0.2">
      <c r="B176" s="144"/>
    </row>
    <row r="177" spans="2:2" x14ac:dyDescent="0.2">
      <c r="B177" s="144"/>
    </row>
    <row r="178" spans="2:2" x14ac:dyDescent="0.2">
      <c r="B178" s="144"/>
    </row>
    <row r="179" spans="2:2" x14ac:dyDescent="0.2">
      <c r="B179" s="144"/>
    </row>
    <row r="180" spans="2:2" x14ac:dyDescent="0.2">
      <c r="B180" s="144"/>
    </row>
    <row r="181" spans="2:2" x14ac:dyDescent="0.2">
      <c r="B181" s="144"/>
    </row>
    <row r="182" spans="2:2" x14ac:dyDescent="0.2">
      <c r="B182" s="144"/>
    </row>
    <row r="183" spans="2:2" x14ac:dyDescent="0.2">
      <c r="B183" s="144"/>
    </row>
    <row r="184" spans="2:2" x14ac:dyDescent="0.2">
      <c r="B184" s="144"/>
    </row>
    <row r="185" spans="2:2" x14ac:dyDescent="0.2">
      <c r="B185" s="144"/>
    </row>
    <row r="186" spans="2:2" x14ac:dyDescent="0.2">
      <c r="B186" s="144"/>
    </row>
    <row r="187" spans="2:2" x14ac:dyDescent="0.2">
      <c r="B187" s="144"/>
    </row>
    <row r="188" spans="2:2" x14ac:dyDescent="0.2">
      <c r="B188" s="144"/>
    </row>
    <row r="189" spans="2:2" x14ac:dyDescent="0.2">
      <c r="B189" s="144"/>
    </row>
    <row r="190" spans="2:2" x14ac:dyDescent="0.2">
      <c r="B190" s="144"/>
    </row>
    <row r="191" spans="2:2" x14ac:dyDescent="0.2">
      <c r="B191" s="144"/>
    </row>
    <row r="192" spans="2:2" x14ac:dyDescent="0.2">
      <c r="B192" s="144"/>
    </row>
    <row r="193" spans="2:2" x14ac:dyDescent="0.2">
      <c r="B193" s="144"/>
    </row>
    <row r="194" spans="2:2" x14ac:dyDescent="0.2">
      <c r="B194" s="144"/>
    </row>
    <row r="195" spans="2:2" x14ac:dyDescent="0.2">
      <c r="B195" s="144"/>
    </row>
    <row r="196" spans="2:2" x14ac:dyDescent="0.2">
      <c r="B196" s="144"/>
    </row>
    <row r="197" spans="2:2" x14ac:dyDescent="0.2">
      <c r="B197" s="144"/>
    </row>
    <row r="198" spans="2:2" x14ac:dyDescent="0.2">
      <c r="B198" s="144"/>
    </row>
    <row r="199" spans="2:2" x14ac:dyDescent="0.2">
      <c r="B199" s="144"/>
    </row>
    <row r="200" spans="2:2" x14ac:dyDescent="0.2">
      <c r="B200" s="144"/>
    </row>
    <row r="201" spans="2:2" x14ac:dyDescent="0.2">
      <c r="B201" s="144"/>
    </row>
    <row r="202" spans="2:2" x14ac:dyDescent="0.2">
      <c r="B202" s="144"/>
    </row>
    <row r="203" spans="2:2" x14ac:dyDescent="0.2">
      <c r="B203" s="144"/>
    </row>
    <row r="204" spans="2:2" x14ac:dyDescent="0.2">
      <c r="B204" s="144"/>
    </row>
    <row r="205" spans="2:2" x14ac:dyDescent="0.2">
      <c r="B205" s="144"/>
    </row>
    <row r="206" spans="2:2" x14ac:dyDescent="0.2">
      <c r="B206" s="144"/>
    </row>
    <row r="207" spans="2:2" x14ac:dyDescent="0.2">
      <c r="B207" s="144"/>
    </row>
    <row r="208" spans="2:2" x14ac:dyDescent="0.2">
      <c r="B208" s="144"/>
    </row>
    <row r="209" spans="2:2" x14ac:dyDescent="0.2">
      <c r="B209" s="144"/>
    </row>
    <row r="210" spans="2:2" x14ac:dyDescent="0.2">
      <c r="B210" s="144"/>
    </row>
    <row r="211" spans="2:2" x14ac:dyDescent="0.2">
      <c r="B211" s="144"/>
    </row>
    <row r="212" spans="2:2" x14ac:dyDescent="0.2">
      <c r="B212" s="144"/>
    </row>
    <row r="213" spans="2:2" x14ac:dyDescent="0.2">
      <c r="B213" s="144"/>
    </row>
    <row r="214" spans="2:2" x14ac:dyDescent="0.2">
      <c r="B214" s="144"/>
    </row>
    <row r="215" spans="2:2" x14ac:dyDescent="0.2">
      <c r="B215" s="144"/>
    </row>
    <row r="216" spans="2:2" x14ac:dyDescent="0.2">
      <c r="B216" s="144"/>
    </row>
    <row r="217" spans="2:2" x14ac:dyDescent="0.2">
      <c r="B217" s="144"/>
    </row>
    <row r="218" spans="2:2" x14ac:dyDescent="0.2">
      <c r="B218" s="144"/>
    </row>
    <row r="219" spans="2:2" x14ac:dyDescent="0.2">
      <c r="B219" s="144"/>
    </row>
    <row r="220" spans="2:2" x14ac:dyDescent="0.2">
      <c r="B220" s="144"/>
    </row>
    <row r="221" spans="2:2" x14ac:dyDescent="0.2">
      <c r="B221" s="144"/>
    </row>
    <row r="222" spans="2:2" x14ac:dyDescent="0.2">
      <c r="B222" s="144"/>
    </row>
    <row r="223" spans="2:2" x14ac:dyDescent="0.2">
      <c r="B223" s="144"/>
    </row>
    <row r="224" spans="2:2" x14ac:dyDescent="0.2">
      <c r="B224" s="144"/>
    </row>
    <row r="225" spans="2:2" x14ac:dyDescent="0.2">
      <c r="B225" s="144"/>
    </row>
    <row r="226" spans="2:2" x14ac:dyDescent="0.2">
      <c r="B226" s="144"/>
    </row>
    <row r="227" spans="2:2" x14ac:dyDescent="0.2">
      <c r="B227" s="144"/>
    </row>
    <row r="228" spans="2:2" x14ac:dyDescent="0.2">
      <c r="B228" s="144"/>
    </row>
    <row r="229" spans="2:2" x14ac:dyDescent="0.2">
      <c r="B229" s="144"/>
    </row>
    <row r="230" spans="2:2" x14ac:dyDescent="0.2">
      <c r="B230" s="144"/>
    </row>
    <row r="231" spans="2:2" x14ac:dyDescent="0.2">
      <c r="B231" s="144"/>
    </row>
    <row r="232" spans="2:2" x14ac:dyDescent="0.2">
      <c r="B232" s="144"/>
    </row>
    <row r="233" spans="2:2" x14ac:dyDescent="0.2">
      <c r="B233" s="144"/>
    </row>
    <row r="234" spans="2:2" x14ac:dyDescent="0.2">
      <c r="B234" s="144"/>
    </row>
    <row r="235" spans="2:2" x14ac:dyDescent="0.2">
      <c r="B235" s="144"/>
    </row>
    <row r="236" spans="2:2" x14ac:dyDescent="0.2">
      <c r="B236" s="144"/>
    </row>
    <row r="237" spans="2:2" x14ac:dyDescent="0.2">
      <c r="B237" s="144"/>
    </row>
    <row r="238" spans="2:2" x14ac:dyDescent="0.2">
      <c r="B238" s="144"/>
    </row>
    <row r="239" spans="2:2" x14ac:dyDescent="0.2">
      <c r="B239" s="144"/>
    </row>
    <row r="240" spans="2:2" x14ac:dyDescent="0.2">
      <c r="B240" s="144"/>
    </row>
    <row r="241" spans="2:2" x14ac:dyDescent="0.2">
      <c r="B241" s="144"/>
    </row>
    <row r="242" spans="2:2" x14ac:dyDescent="0.2">
      <c r="B242" s="144"/>
    </row>
    <row r="243" spans="2:2" x14ac:dyDescent="0.2">
      <c r="B243" s="144"/>
    </row>
    <row r="244" spans="2:2" x14ac:dyDescent="0.2">
      <c r="B244" s="144"/>
    </row>
    <row r="245" spans="2:2" x14ac:dyDescent="0.2">
      <c r="B245" s="144"/>
    </row>
    <row r="246" spans="2:2" x14ac:dyDescent="0.2">
      <c r="B246" s="144"/>
    </row>
    <row r="247" spans="2:2" x14ac:dyDescent="0.2">
      <c r="B247" s="144"/>
    </row>
    <row r="248" spans="2:2" x14ac:dyDescent="0.2">
      <c r="B248" s="144"/>
    </row>
    <row r="249" spans="2:2" x14ac:dyDescent="0.2">
      <c r="B249" s="144"/>
    </row>
    <row r="250" spans="2:2" x14ac:dyDescent="0.2">
      <c r="B250" s="144"/>
    </row>
    <row r="251" spans="2:2" x14ac:dyDescent="0.2">
      <c r="B251" s="144"/>
    </row>
    <row r="252" spans="2:2" x14ac:dyDescent="0.2">
      <c r="B252" s="144"/>
    </row>
    <row r="253" spans="2:2" x14ac:dyDescent="0.2">
      <c r="B253" s="144"/>
    </row>
    <row r="254" spans="2:2" x14ac:dyDescent="0.2">
      <c r="B254" s="144"/>
    </row>
    <row r="255" spans="2:2" x14ac:dyDescent="0.2">
      <c r="B255" s="144"/>
    </row>
    <row r="256" spans="2:2" x14ac:dyDescent="0.2">
      <c r="B256" s="144"/>
    </row>
    <row r="257" spans="2:2" x14ac:dyDescent="0.2">
      <c r="B257" s="144"/>
    </row>
    <row r="258" spans="2:2" x14ac:dyDescent="0.2">
      <c r="B258" s="144"/>
    </row>
    <row r="259" spans="2:2" x14ac:dyDescent="0.2">
      <c r="B259" s="144"/>
    </row>
    <row r="260" spans="2:2" x14ac:dyDescent="0.2">
      <c r="B260" s="144"/>
    </row>
    <row r="261" spans="2:2" x14ac:dyDescent="0.2">
      <c r="B261" s="144"/>
    </row>
    <row r="262" spans="2:2" x14ac:dyDescent="0.2">
      <c r="B262" s="144"/>
    </row>
    <row r="263" spans="2:2" x14ac:dyDescent="0.2">
      <c r="B263" s="144"/>
    </row>
    <row r="264" spans="2:2" x14ac:dyDescent="0.2">
      <c r="B264" s="144"/>
    </row>
    <row r="265" spans="2:2" x14ac:dyDescent="0.2">
      <c r="B265" s="144"/>
    </row>
    <row r="266" spans="2:2" x14ac:dyDescent="0.2">
      <c r="B266" s="144"/>
    </row>
    <row r="267" spans="2:2" x14ac:dyDescent="0.2">
      <c r="B267" s="144"/>
    </row>
    <row r="268" spans="2:2" x14ac:dyDescent="0.2">
      <c r="B268" s="144"/>
    </row>
    <row r="269" spans="2:2" x14ac:dyDescent="0.2">
      <c r="B269" s="144"/>
    </row>
    <row r="270" spans="2:2" x14ac:dyDescent="0.2">
      <c r="B270" s="144"/>
    </row>
    <row r="271" spans="2:2" x14ac:dyDescent="0.2">
      <c r="B271" s="144"/>
    </row>
    <row r="272" spans="2:2" x14ac:dyDescent="0.2">
      <c r="B272" s="144"/>
    </row>
    <row r="273" spans="2:2" x14ac:dyDescent="0.2">
      <c r="B273" s="144"/>
    </row>
    <row r="274" spans="2:2" x14ac:dyDescent="0.2">
      <c r="B274" s="144"/>
    </row>
    <row r="275" spans="2:2" x14ac:dyDescent="0.2">
      <c r="B275" s="144"/>
    </row>
    <row r="276" spans="2:2" x14ac:dyDescent="0.2">
      <c r="B276" s="144"/>
    </row>
    <row r="277" spans="2:2" x14ac:dyDescent="0.2">
      <c r="B277" s="144"/>
    </row>
    <row r="278" spans="2:2" x14ac:dyDescent="0.2">
      <c r="B278" s="144"/>
    </row>
    <row r="279" spans="2:2" x14ac:dyDescent="0.2">
      <c r="B279" s="144"/>
    </row>
    <row r="280" spans="2:2" x14ac:dyDescent="0.2">
      <c r="B280" s="144"/>
    </row>
    <row r="281" spans="2:2" x14ac:dyDescent="0.2">
      <c r="B281" s="144"/>
    </row>
    <row r="282" spans="2:2" x14ac:dyDescent="0.2">
      <c r="B282" s="144"/>
    </row>
    <row r="283" spans="2:2" x14ac:dyDescent="0.2">
      <c r="B283" s="144"/>
    </row>
    <row r="284" spans="2:2" x14ac:dyDescent="0.2">
      <c r="B284" s="144"/>
    </row>
    <row r="285" spans="2:2" x14ac:dyDescent="0.2">
      <c r="B285" s="144"/>
    </row>
    <row r="286" spans="2:2" x14ac:dyDescent="0.2">
      <c r="B286" s="144"/>
    </row>
    <row r="287" spans="2:2" x14ac:dyDescent="0.2">
      <c r="B287" s="144"/>
    </row>
    <row r="288" spans="2:2" x14ac:dyDescent="0.2">
      <c r="B288" s="144"/>
    </row>
    <row r="289" spans="2:2" x14ac:dyDescent="0.2">
      <c r="B289" s="144"/>
    </row>
    <row r="290" spans="2:2" x14ac:dyDescent="0.2">
      <c r="B290" s="144"/>
    </row>
    <row r="291" spans="2:2" x14ac:dyDescent="0.2">
      <c r="B291" s="144"/>
    </row>
    <row r="292" spans="2:2" x14ac:dyDescent="0.2">
      <c r="B292" s="144"/>
    </row>
    <row r="293" spans="2:2" x14ac:dyDescent="0.2">
      <c r="B293" s="144"/>
    </row>
    <row r="294" spans="2:2" x14ac:dyDescent="0.2">
      <c r="B294" s="144"/>
    </row>
    <row r="295" spans="2:2" x14ac:dyDescent="0.2">
      <c r="B295" s="144"/>
    </row>
    <row r="296" spans="2:2" x14ac:dyDescent="0.2">
      <c r="B296" s="144"/>
    </row>
    <row r="297" spans="2:2" x14ac:dyDescent="0.2">
      <c r="B297" s="144"/>
    </row>
    <row r="298" spans="2:2" x14ac:dyDescent="0.2">
      <c r="B298" s="144"/>
    </row>
    <row r="299" spans="2:2" x14ac:dyDescent="0.2">
      <c r="B299" s="144"/>
    </row>
    <row r="300" spans="2:2" x14ac:dyDescent="0.2">
      <c r="B300" s="144"/>
    </row>
    <row r="301" spans="2:2" x14ac:dyDescent="0.2">
      <c r="B301" s="144"/>
    </row>
    <row r="302" spans="2:2" x14ac:dyDescent="0.2">
      <c r="B302" s="144"/>
    </row>
    <row r="303" spans="2:2" x14ac:dyDescent="0.2">
      <c r="B303" s="144"/>
    </row>
    <row r="304" spans="2:2" x14ac:dyDescent="0.2">
      <c r="B304" s="144"/>
    </row>
    <row r="305" spans="2:2" x14ac:dyDescent="0.2">
      <c r="B305" s="144"/>
    </row>
    <row r="306" spans="2:2" x14ac:dyDescent="0.2">
      <c r="B306" s="144"/>
    </row>
    <row r="307" spans="2:2" x14ac:dyDescent="0.2">
      <c r="B307" s="144"/>
    </row>
    <row r="308" spans="2:2" x14ac:dyDescent="0.2">
      <c r="B308" s="144"/>
    </row>
    <row r="309" spans="2:2" x14ac:dyDescent="0.2">
      <c r="B309" s="144"/>
    </row>
    <row r="310" spans="2:2" x14ac:dyDescent="0.2">
      <c r="B310" s="144"/>
    </row>
    <row r="311" spans="2:2" x14ac:dyDescent="0.2">
      <c r="B311" s="144"/>
    </row>
    <row r="312" spans="2:2" x14ac:dyDescent="0.2">
      <c r="B312" s="144"/>
    </row>
    <row r="313" spans="2:2" x14ac:dyDescent="0.2">
      <c r="B313" s="144"/>
    </row>
    <row r="314" spans="2:2" x14ac:dyDescent="0.2">
      <c r="B314" s="144"/>
    </row>
    <row r="315" spans="2:2" x14ac:dyDescent="0.2">
      <c r="B315" s="144"/>
    </row>
    <row r="316" spans="2:2" x14ac:dyDescent="0.2">
      <c r="B316" s="144"/>
    </row>
    <row r="317" spans="2:2" x14ac:dyDescent="0.2">
      <c r="B317" s="144"/>
    </row>
    <row r="318" spans="2:2" x14ac:dyDescent="0.2">
      <c r="B318" s="144"/>
    </row>
    <row r="319" spans="2:2" x14ac:dyDescent="0.2">
      <c r="B319" s="144"/>
    </row>
    <row r="320" spans="2:2" x14ac:dyDescent="0.2">
      <c r="B320" s="144"/>
    </row>
    <row r="321" spans="2:2" x14ac:dyDescent="0.2">
      <c r="B321" s="144"/>
    </row>
    <row r="322" spans="2:2" x14ac:dyDescent="0.2">
      <c r="B322" s="144"/>
    </row>
    <row r="323" spans="2:2" x14ac:dyDescent="0.2">
      <c r="B323" s="144"/>
    </row>
    <row r="324" spans="2:2" x14ac:dyDescent="0.2">
      <c r="B324" s="144"/>
    </row>
    <row r="325" spans="2:2" x14ac:dyDescent="0.2">
      <c r="B325" s="144"/>
    </row>
    <row r="326" spans="2:2" x14ac:dyDescent="0.2">
      <c r="B326" s="144"/>
    </row>
    <row r="327" spans="2:2" x14ac:dyDescent="0.2">
      <c r="B327" s="144"/>
    </row>
    <row r="328" spans="2:2" x14ac:dyDescent="0.2">
      <c r="B328" s="144"/>
    </row>
    <row r="329" spans="2:2" x14ac:dyDescent="0.2">
      <c r="B329" s="144"/>
    </row>
    <row r="330" spans="2:2" x14ac:dyDescent="0.2">
      <c r="B330" s="144"/>
    </row>
    <row r="331" spans="2:2" x14ac:dyDescent="0.2">
      <c r="B331" s="144"/>
    </row>
    <row r="332" spans="2:2" x14ac:dyDescent="0.2">
      <c r="B332" s="144"/>
    </row>
    <row r="333" spans="2:2" x14ac:dyDescent="0.2">
      <c r="B333" s="144"/>
    </row>
    <row r="334" spans="2:2" x14ac:dyDescent="0.2">
      <c r="B334" s="144"/>
    </row>
    <row r="335" spans="2:2" x14ac:dyDescent="0.2">
      <c r="B335" s="144"/>
    </row>
    <row r="336" spans="2:2" x14ac:dyDescent="0.2">
      <c r="B336" s="144"/>
    </row>
    <row r="337" spans="2:2" x14ac:dyDescent="0.2">
      <c r="B337" s="144"/>
    </row>
    <row r="338" spans="2:2" x14ac:dyDescent="0.2">
      <c r="B338" s="144"/>
    </row>
    <row r="339" spans="2:2" x14ac:dyDescent="0.2">
      <c r="B339" s="144"/>
    </row>
    <row r="340" spans="2:2" x14ac:dyDescent="0.2">
      <c r="B340" s="144"/>
    </row>
    <row r="341" spans="2:2" x14ac:dyDescent="0.2">
      <c r="B341" s="144"/>
    </row>
    <row r="342" spans="2:2" x14ac:dyDescent="0.2">
      <c r="B342" s="144"/>
    </row>
    <row r="343" spans="2:2" x14ac:dyDescent="0.2">
      <c r="B343" s="144"/>
    </row>
    <row r="344" spans="2:2" x14ac:dyDescent="0.2">
      <c r="B344" s="144"/>
    </row>
    <row r="345" spans="2:2" x14ac:dyDescent="0.2">
      <c r="B345" s="144"/>
    </row>
    <row r="346" spans="2:2" x14ac:dyDescent="0.2">
      <c r="B346" s="144"/>
    </row>
    <row r="347" spans="2:2" x14ac:dyDescent="0.2">
      <c r="B347" s="144"/>
    </row>
    <row r="348" spans="2:2" x14ac:dyDescent="0.2">
      <c r="B348" s="144"/>
    </row>
    <row r="349" spans="2:2" x14ac:dyDescent="0.2">
      <c r="B349" s="144"/>
    </row>
    <row r="350" spans="2:2" x14ac:dyDescent="0.2">
      <c r="B350" s="144"/>
    </row>
    <row r="351" spans="2:2" x14ac:dyDescent="0.2">
      <c r="B351" s="144"/>
    </row>
    <row r="352" spans="2:2" x14ac:dyDescent="0.2">
      <c r="B352" s="144"/>
    </row>
    <row r="353" spans="2:2" x14ac:dyDescent="0.2">
      <c r="B353" s="144"/>
    </row>
    <row r="354" spans="2:2" x14ac:dyDescent="0.2">
      <c r="B354" s="144"/>
    </row>
    <row r="355" spans="2:2" x14ac:dyDescent="0.2">
      <c r="B355" s="144"/>
    </row>
    <row r="356" spans="2:2" x14ac:dyDescent="0.2">
      <c r="B356" s="144"/>
    </row>
    <row r="357" spans="2:2" x14ac:dyDescent="0.2">
      <c r="B357" s="144"/>
    </row>
    <row r="358" spans="2:2" x14ac:dyDescent="0.2">
      <c r="B358" s="144"/>
    </row>
    <row r="359" spans="2:2" x14ac:dyDescent="0.2">
      <c r="B359" s="144"/>
    </row>
    <row r="360" spans="2:2" x14ac:dyDescent="0.2">
      <c r="B360" s="144"/>
    </row>
    <row r="361" spans="2:2" x14ac:dyDescent="0.2">
      <c r="B361" s="144"/>
    </row>
    <row r="362" spans="2:2" x14ac:dyDescent="0.2">
      <c r="B362" s="144"/>
    </row>
    <row r="363" spans="2:2" x14ac:dyDescent="0.2">
      <c r="B363" s="144"/>
    </row>
    <row r="364" spans="2:2" x14ac:dyDescent="0.2">
      <c r="B364" s="144"/>
    </row>
    <row r="365" spans="2:2" x14ac:dyDescent="0.2">
      <c r="B365" s="144"/>
    </row>
    <row r="366" spans="2:2" x14ac:dyDescent="0.2">
      <c r="B366" s="144"/>
    </row>
    <row r="367" spans="2:2" x14ac:dyDescent="0.2">
      <c r="B367" s="144"/>
    </row>
    <row r="368" spans="2:2" x14ac:dyDescent="0.2">
      <c r="B368" s="144"/>
    </row>
    <row r="369" spans="2:2" x14ac:dyDescent="0.2">
      <c r="B369" s="144"/>
    </row>
    <row r="370" spans="2:2" x14ac:dyDescent="0.2">
      <c r="B370" s="144"/>
    </row>
    <row r="371" spans="2:2" x14ac:dyDescent="0.2">
      <c r="B371" s="144"/>
    </row>
    <row r="372" spans="2:2" x14ac:dyDescent="0.2">
      <c r="B372" s="144"/>
    </row>
    <row r="373" spans="2:2" x14ac:dyDescent="0.2">
      <c r="B373" s="144"/>
    </row>
    <row r="374" spans="2:2" x14ac:dyDescent="0.2">
      <c r="B374" s="144"/>
    </row>
    <row r="375" spans="2:2" x14ac:dyDescent="0.2">
      <c r="B375" s="144"/>
    </row>
    <row r="376" spans="2:2" x14ac:dyDescent="0.2">
      <c r="B376" s="144"/>
    </row>
    <row r="377" spans="2:2" x14ac:dyDescent="0.2">
      <c r="B377" s="144"/>
    </row>
    <row r="378" spans="2:2" x14ac:dyDescent="0.2">
      <c r="B378" s="144"/>
    </row>
    <row r="379" spans="2:2" x14ac:dyDescent="0.2">
      <c r="B379" s="144"/>
    </row>
    <row r="380" spans="2:2" x14ac:dyDescent="0.2">
      <c r="B380" s="144"/>
    </row>
    <row r="381" spans="2:2" x14ac:dyDescent="0.2">
      <c r="B381" s="144"/>
    </row>
    <row r="382" spans="2:2" x14ac:dyDescent="0.2">
      <c r="B382" s="144"/>
    </row>
    <row r="383" spans="2:2" x14ac:dyDescent="0.2">
      <c r="B383" s="144"/>
    </row>
    <row r="384" spans="2:2" x14ac:dyDescent="0.2">
      <c r="B384" s="144"/>
    </row>
    <row r="385" spans="2:2" x14ac:dyDescent="0.2">
      <c r="B385" s="144"/>
    </row>
    <row r="386" spans="2:2" x14ac:dyDescent="0.2">
      <c r="B386" s="144"/>
    </row>
    <row r="387" spans="2:2" x14ac:dyDescent="0.2">
      <c r="B387" s="144"/>
    </row>
    <row r="388" spans="2:2" x14ac:dyDescent="0.2">
      <c r="B388" s="144"/>
    </row>
    <row r="389" spans="2:2" x14ac:dyDescent="0.2">
      <c r="B389" s="144"/>
    </row>
    <row r="390" spans="2:2" x14ac:dyDescent="0.2">
      <c r="B390" s="144"/>
    </row>
    <row r="391" spans="2:2" x14ac:dyDescent="0.2">
      <c r="B391" s="144"/>
    </row>
    <row r="392" spans="2:2" x14ac:dyDescent="0.2">
      <c r="B392" s="144"/>
    </row>
    <row r="393" spans="2:2" x14ac:dyDescent="0.2">
      <c r="B393" s="144"/>
    </row>
    <row r="394" spans="2:2" x14ac:dyDescent="0.2">
      <c r="B394" s="144"/>
    </row>
    <row r="395" spans="2:2" x14ac:dyDescent="0.2">
      <c r="B395" s="144"/>
    </row>
    <row r="396" spans="2:2" x14ac:dyDescent="0.2">
      <c r="B396" s="144"/>
    </row>
    <row r="397" spans="2:2" x14ac:dyDescent="0.2">
      <c r="B397" s="144"/>
    </row>
    <row r="398" spans="2:2" x14ac:dyDescent="0.2">
      <c r="B398" s="144"/>
    </row>
    <row r="399" spans="2:2" x14ac:dyDescent="0.2">
      <c r="B399" s="144"/>
    </row>
    <row r="400" spans="2:2" x14ac:dyDescent="0.2">
      <c r="B400" s="144"/>
    </row>
    <row r="401" spans="2:2" x14ac:dyDescent="0.2">
      <c r="B401" s="144"/>
    </row>
    <row r="402" spans="2:2" x14ac:dyDescent="0.2">
      <c r="B402" s="144"/>
    </row>
    <row r="403" spans="2:2" x14ac:dyDescent="0.2">
      <c r="B403" s="144"/>
    </row>
    <row r="404" spans="2:2" x14ac:dyDescent="0.2">
      <c r="B404" s="144"/>
    </row>
    <row r="405" spans="2:2" x14ac:dyDescent="0.2">
      <c r="B405" s="144"/>
    </row>
    <row r="406" spans="2:2" x14ac:dyDescent="0.2">
      <c r="B406" s="144"/>
    </row>
    <row r="407" spans="2:2" x14ac:dyDescent="0.2">
      <c r="B407" s="144"/>
    </row>
    <row r="408" spans="2:2" x14ac:dyDescent="0.2">
      <c r="B408" s="144"/>
    </row>
    <row r="409" spans="2:2" x14ac:dyDescent="0.2">
      <c r="B409" s="144"/>
    </row>
    <row r="410" spans="2:2" x14ac:dyDescent="0.2">
      <c r="B410" s="144"/>
    </row>
    <row r="411" spans="2:2" x14ac:dyDescent="0.2">
      <c r="B411" s="144"/>
    </row>
    <row r="412" spans="2:2" x14ac:dyDescent="0.2">
      <c r="B412" s="144"/>
    </row>
    <row r="413" spans="2:2" x14ac:dyDescent="0.2">
      <c r="B413" s="144"/>
    </row>
    <row r="414" spans="2:2" x14ac:dyDescent="0.2">
      <c r="B414" s="144"/>
    </row>
    <row r="415" spans="2:2" x14ac:dyDescent="0.2">
      <c r="B415" s="144"/>
    </row>
    <row r="416" spans="2:2" x14ac:dyDescent="0.2">
      <c r="B416" s="144"/>
    </row>
    <row r="417" spans="2:2" x14ac:dyDescent="0.2">
      <c r="B417" s="144"/>
    </row>
    <row r="418" spans="2:2" x14ac:dyDescent="0.2">
      <c r="B418" s="144"/>
    </row>
    <row r="419" spans="2:2" x14ac:dyDescent="0.2">
      <c r="B419" s="144"/>
    </row>
    <row r="420" spans="2:2" x14ac:dyDescent="0.2">
      <c r="B420" s="144"/>
    </row>
    <row r="421" spans="2:2" x14ac:dyDescent="0.2">
      <c r="B421" s="144"/>
    </row>
    <row r="422" spans="2:2" x14ac:dyDescent="0.2">
      <c r="B422" s="144"/>
    </row>
    <row r="423" spans="2:2" x14ac:dyDescent="0.2">
      <c r="B423" s="144"/>
    </row>
    <row r="424" spans="2:2" x14ac:dyDescent="0.2">
      <c r="B424" s="144"/>
    </row>
    <row r="425" spans="2:2" x14ac:dyDescent="0.2">
      <c r="B425" s="144"/>
    </row>
    <row r="426" spans="2:2" x14ac:dyDescent="0.2">
      <c r="B426" s="144"/>
    </row>
    <row r="427" spans="2:2" x14ac:dyDescent="0.2">
      <c r="B427" s="144"/>
    </row>
    <row r="428" spans="2:2" x14ac:dyDescent="0.2">
      <c r="B428" s="144"/>
    </row>
    <row r="429" spans="2:2" x14ac:dyDescent="0.2">
      <c r="B429" s="144"/>
    </row>
    <row r="430" spans="2:2" x14ac:dyDescent="0.2">
      <c r="B430" s="144"/>
    </row>
    <row r="431" spans="2:2" x14ac:dyDescent="0.2">
      <c r="B431" s="144"/>
    </row>
    <row r="432" spans="2:2" x14ac:dyDescent="0.2">
      <c r="B432" s="144"/>
    </row>
    <row r="433" spans="2:2" x14ac:dyDescent="0.2">
      <c r="B433" s="144"/>
    </row>
    <row r="434" spans="2:2" x14ac:dyDescent="0.2">
      <c r="B434" s="144"/>
    </row>
    <row r="435" spans="2:2" x14ac:dyDescent="0.2">
      <c r="B435" s="144"/>
    </row>
    <row r="436" spans="2:2" x14ac:dyDescent="0.2">
      <c r="B436" s="144"/>
    </row>
    <row r="437" spans="2:2" x14ac:dyDescent="0.2">
      <c r="B437" s="144"/>
    </row>
    <row r="438" spans="2:2" x14ac:dyDescent="0.2">
      <c r="B438" s="144"/>
    </row>
    <row r="439" spans="2:2" x14ac:dyDescent="0.2">
      <c r="B439" s="144"/>
    </row>
    <row r="440" spans="2:2" x14ac:dyDescent="0.2">
      <c r="B440" s="144"/>
    </row>
    <row r="441" spans="2:2" x14ac:dyDescent="0.2">
      <c r="B441" s="144"/>
    </row>
    <row r="442" spans="2:2" x14ac:dyDescent="0.2">
      <c r="B442" s="144"/>
    </row>
    <row r="443" spans="2:2" x14ac:dyDescent="0.2">
      <c r="B443" s="144"/>
    </row>
    <row r="444" spans="2:2" x14ac:dyDescent="0.2">
      <c r="B444" s="144"/>
    </row>
    <row r="445" spans="2:2" x14ac:dyDescent="0.2">
      <c r="B445" s="144"/>
    </row>
    <row r="446" spans="2:2" x14ac:dyDescent="0.2">
      <c r="B446" s="144"/>
    </row>
    <row r="447" spans="2:2" x14ac:dyDescent="0.2">
      <c r="B447" s="144"/>
    </row>
    <row r="448" spans="2:2" x14ac:dyDescent="0.2">
      <c r="B448" s="144"/>
    </row>
    <row r="449" spans="2:2" x14ac:dyDescent="0.2">
      <c r="B449" s="144"/>
    </row>
    <row r="450" spans="2:2" x14ac:dyDescent="0.2">
      <c r="B450" s="144"/>
    </row>
    <row r="451" spans="2:2" x14ac:dyDescent="0.2">
      <c r="B451" s="144"/>
    </row>
    <row r="452" spans="2:2" x14ac:dyDescent="0.2">
      <c r="B452" s="144"/>
    </row>
    <row r="453" spans="2:2" x14ac:dyDescent="0.2">
      <c r="B453" s="144"/>
    </row>
    <row r="454" spans="2:2" x14ac:dyDescent="0.2">
      <c r="B454" s="144"/>
    </row>
    <row r="455" spans="2:2" x14ac:dyDescent="0.2">
      <c r="B455" s="144"/>
    </row>
    <row r="456" spans="2:2" x14ac:dyDescent="0.2">
      <c r="B456" s="144"/>
    </row>
    <row r="457" spans="2:2" x14ac:dyDescent="0.2">
      <c r="B457" s="144"/>
    </row>
    <row r="458" spans="2:2" x14ac:dyDescent="0.2">
      <c r="B458" s="144"/>
    </row>
    <row r="459" spans="2:2" x14ac:dyDescent="0.2">
      <c r="B459" s="144"/>
    </row>
    <row r="460" spans="2:2" x14ac:dyDescent="0.2">
      <c r="B460" s="144"/>
    </row>
    <row r="461" spans="2:2" x14ac:dyDescent="0.2">
      <c r="B461" s="144"/>
    </row>
    <row r="462" spans="2:2" x14ac:dyDescent="0.2">
      <c r="B462" s="144"/>
    </row>
    <row r="463" spans="2:2" x14ac:dyDescent="0.2">
      <c r="B463" s="144"/>
    </row>
    <row r="464" spans="2:2" x14ac:dyDescent="0.2">
      <c r="B464" s="144"/>
    </row>
    <row r="465" spans="2:2" x14ac:dyDescent="0.2">
      <c r="B465" s="144"/>
    </row>
    <row r="466" spans="2:2" x14ac:dyDescent="0.2">
      <c r="B466" s="144"/>
    </row>
    <row r="467" spans="2:2" x14ac:dyDescent="0.2">
      <c r="B467" s="144"/>
    </row>
    <row r="468" spans="2:2" x14ac:dyDescent="0.2">
      <c r="B468" s="144"/>
    </row>
    <row r="469" spans="2:2" x14ac:dyDescent="0.2">
      <c r="B469" s="144"/>
    </row>
    <row r="470" spans="2:2" x14ac:dyDescent="0.2">
      <c r="B470" s="144"/>
    </row>
    <row r="471" spans="2:2" x14ac:dyDescent="0.2">
      <c r="B471" s="144"/>
    </row>
    <row r="472" spans="2:2" x14ac:dyDescent="0.2">
      <c r="B472" s="144"/>
    </row>
    <row r="473" spans="2:2" x14ac:dyDescent="0.2">
      <c r="B473" s="144"/>
    </row>
    <row r="474" spans="2:2" x14ac:dyDescent="0.2">
      <c r="B474" s="144"/>
    </row>
    <row r="475" spans="2:2" x14ac:dyDescent="0.2">
      <c r="B475" s="144"/>
    </row>
    <row r="476" spans="2:2" x14ac:dyDescent="0.2">
      <c r="B476" s="144"/>
    </row>
    <row r="477" spans="2:2" x14ac:dyDescent="0.2">
      <c r="B477" s="144"/>
    </row>
    <row r="478" spans="2:2" x14ac:dyDescent="0.2">
      <c r="B478" s="144"/>
    </row>
    <row r="479" spans="2:2" x14ac:dyDescent="0.2">
      <c r="B479" s="144"/>
    </row>
    <row r="480" spans="2:2" x14ac:dyDescent="0.2">
      <c r="B480" s="144"/>
    </row>
    <row r="481" spans="2:2" x14ac:dyDescent="0.2">
      <c r="B481" s="144"/>
    </row>
    <row r="482" spans="2:2" x14ac:dyDescent="0.2">
      <c r="B482" s="144"/>
    </row>
    <row r="483" spans="2:2" x14ac:dyDescent="0.2">
      <c r="B483" s="144"/>
    </row>
    <row r="484" spans="2:2" x14ac:dyDescent="0.2">
      <c r="B484" s="144"/>
    </row>
    <row r="485" spans="2:2" x14ac:dyDescent="0.2">
      <c r="B485" s="144"/>
    </row>
    <row r="486" spans="2:2" x14ac:dyDescent="0.2">
      <c r="B486" s="144"/>
    </row>
    <row r="487" spans="2:2" x14ac:dyDescent="0.2">
      <c r="B487" s="144"/>
    </row>
    <row r="488" spans="2:2" x14ac:dyDescent="0.2">
      <c r="B488" s="144"/>
    </row>
    <row r="489" spans="2:2" x14ac:dyDescent="0.2">
      <c r="B489" s="144"/>
    </row>
    <row r="490" spans="2:2" x14ac:dyDescent="0.2">
      <c r="B490" s="144"/>
    </row>
    <row r="491" spans="2:2" x14ac:dyDescent="0.2">
      <c r="B491" s="144"/>
    </row>
    <row r="492" spans="2:2" x14ac:dyDescent="0.2">
      <c r="B492" s="144"/>
    </row>
    <row r="493" spans="2:2" x14ac:dyDescent="0.2">
      <c r="B493" s="144"/>
    </row>
    <row r="494" spans="2:2" x14ac:dyDescent="0.2">
      <c r="B494" s="144"/>
    </row>
    <row r="495" spans="2:2" x14ac:dyDescent="0.2">
      <c r="B495" s="144"/>
    </row>
    <row r="496" spans="2:2" x14ac:dyDescent="0.2">
      <c r="B496" s="144"/>
    </row>
    <row r="497" spans="2:2" x14ac:dyDescent="0.2">
      <c r="B497" s="144"/>
    </row>
    <row r="498" spans="2:2" x14ac:dyDescent="0.2">
      <c r="B498" s="144"/>
    </row>
    <row r="499" spans="2:2" x14ac:dyDescent="0.2">
      <c r="B499" s="144"/>
    </row>
    <row r="500" spans="2:2" x14ac:dyDescent="0.2">
      <c r="B500" s="144"/>
    </row>
    <row r="501" spans="2:2" x14ac:dyDescent="0.2">
      <c r="B501" s="144"/>
    </row>
    <row r="502" spans="2:2" x14ac:dyDescent="0.2">
      <c r="B502" s="144"/>
    </row>
    <row r="503" spans="2:2" x14ac:dyDescent="0.2">
      <c r="B503" s="144"/>
    </row>
    <row r="504" spans="2:2" x14ac:dyDescent="0.2">
      <c r="B504" s="144"/>
    </row>
    <row r="505" spans="2:2" x14ac:dyDescent="0.2">
      <c r="B505" s="144"/>
    </row>
    <row r="506" spans="2:2" x14ac:dyDescent="0.2">
      <c r="B506" s="144"/>
    </row>
    <row r="507" spans="2:2" x14ac:dyDescent="0.2">
      <c r="B507" s="144"/>
    </row>
    <row r="508" spans="2:2" x14ac:dyDescent="0.2">
      <c r="B508" s="144"/>
    </row>
    <row r="509" spans="2:2" x14ac:dyDescent="0.2">
      <c r="B509" s="144"/>
    </row>
    <row r="510" spans="2:2" x14ac:dyDescent="0.2">
      <c r="B510" s="144"/>
    </row>
    <row r="511" spans="2:2" x14ac:dyDescent="0.2">
      <c r="B511" s="144"/>
    </row>
    <row r="512" spans="2:2" x14ac:dyDescent="0.2">
      <c r="B512" s="144"/>
    </row>
    <row r="513" spans="2:2" x14ac:dyDescent="0.2">
      <c r="B513" s="144"/>
    </row>
    <row r="514" spans="2:2" x14ac:dyDescent="0.2">
      <c r="B514" s="144"/>
    </row>
    <row r="515" spans="2:2" x14ac:dyDescent="0.2">
      <c r="B515" s="144"/>
    </row>
    <row r="516" spans="2:2" x14ac:dyDescent="0.2">
      <c r="B516" s="144"/>
    </row>
    <row r="517" spans="2:2" x14ac:dyDescent="0.2">
      <c r="B517" s="144"/>
    </row>
    <row r="518" spans="2:2" x14ac:dyDescent="0.2">
      <c r="B518" s="144"/>
    </row>
    <row r="519" spans="2:2" x14ac:dyDescent="0.2">
      <c r="B519" s="144"/>
    </row>
    <row r="520" spans="2:2" x14ac:dyDescent="0.2">
      <c r="B520" s="144"/>
    </row>
    <row r="521" spans="2:2" x14ac:dyDescent="0.2">
      <c r="B521" s="144"/>
    </row>
    <row r="522" spans="2:2" x14ac:dyDescent="0.2">
      <c r="B522" s="144"/>
    </row>
    <row r="523" spans="2:2" x14ac:dyDescent="0.2">
      <c r="B523" s="144"/>
    </row>
    <row r="524" spans="2:2" x14ac:dyDescent="0.2">
      <c r="B524" s="144"/>
    </row>
    <row r="525" spans="2:2" x14ac:dyDescent="0.2">
      <c r="B525" s="144"/>
    </row>
    <row r="526" spans="2:2" x14ac:dyDescent="0.2">
      <c r="B526" s="144"/>
    </row>
    <row r="527" spans="2:2" x14ac:dyDescent="0.2">
      <c r="B527" s="144"/>
    </row>
    <row r="528" spans="2:2" x14ac:dyDescent="0.2">
      <c r="B528" s="144"/>
    </row>
    <row r="529" spans="2:2" x14ac:dyDescent="0.2">
      <c r="B529" s="144"/>
    </row>
    <row r="530" spans="2:2" x14ac:dyDescent="0.2">
      <c r="B530" s="144"/>
    </row>
    <row r="531" spans="2:2" x14ac:dyDescent="0.2">
      <c r="B531" s="144"/>
    </row>
    <row r="532" spans="2:2" x14ac:dyDescent="0.2">
      <c r="B532" s="144"/>
    </row>
    <row r="533" spans="2:2" x14ac:dyDescent="0.2">
      <c r="B533" s="144"/>
    </row>
    <row r="534" spans="2:2" x14ac:dyDescent="0.2">
      <c r="B534" s="144"/>
    </row>
    <row r="535" spans="2:2" x14ac:dyDescent="0.2">
      <c r="B535" s="144"/>
    </row>
    <row r="536" spans="2:2" x14ac:dyDescent="0.2">
      <c r="B536" s="144"/>
    </row>
    <row r="537" spans="2:2" x14ac:dyDescent="0.2">
      <c r="B537" s="144"/>
    </row>
    <row r="538" spans="2:2" x14ac:dyDescent="0.2">
      <c r="B538" s="144"/>
    </row>
    <row r="539" spans="2:2" x14ac:dyDescent="0.2">
      <c r="B539" s="144"/>
    </row>
    <row r="540" spans="2:2" x14ac:dyDescent="0.2">
      <c r="B540" s="144"/>
    </row>
    <row r="541" spans="2:2" x14ac:dyDescent="0.2">
      <c r="B541" s="144"/>
    </row>
    <row r="542" spans="2:2" x14ac:dyDescent="0.2">
      <c r="B542" s="144"/>
    </row>
    <row r="543" spans="2:2" x14ac:dyDescent="0.2">
      <c r="B543" s="144"/>
    </row>
    <row r="544" spans="2:2" x14ac:dyDescent="0.2">
      <c r="B544" s="144"/>
    </row>
    <row r="545" spans="2:2" x14ac:dyDescent="0.2">
      <c r="B545" s="144"/>
    </row>
    <row r="546" spans="2:2" x14ac:dyDescent="0.2">
      <c r="B546" s="144"/>
    </row>
    <row r="547" spans="2:2" x14ac:dyDescent="0.2">
      <c r="B547" s="144"/>
    </row>
    <row r="548" spans="2:2" x14ac:dyDescent="0.2">
      <c r="B548" s="144"/>
    </row>
    <row r="549" spans="2:2" x14ac:dyDescent="0.2">
      <c r="B549" s="144"/>
    </row>
    <row r="550" spans="2:2" x14ac:dyDescent="0.2">
      <c r="B550" s="144"/>
    </row>
    <row r="551" spans="2:2" x14ac:dyDescent="0.2">
      <c r="B551" s="144"/>
    </row>
    <row r="552" spans="2:2" x14ac:dyDescent="0.2">
      <c r="B552" s="144"/>
    </row>
    <row r="553" spans="2:2" x14ac:dyDescent="0.2">
      <c r="B553" s="144"/>
    </row>
    <row r="554" spans="2:2" x14ac:dyDescent="0.2">
      <c r="B554" s="144"/>
    </row>
    <row r="555" spans="2:2" x14ac:dyDescent="0.2">
      <c r="B555" s="144"/>
    </row>
    <row r="556" spans="2:2" x14ac:dyDescent="0.2">
      <c r="B556" s="144"/>
    </row>
    <row r="557" spans="2:2" x14ac:dyDescent="0.2">
      <c r="B557" s="144"/>
    </row>
    <row r="558" spans="2:2" x14ac:dyDescent="0.2">
      <c r="B558" s="144"/>
    </row>
    <row r="559" spans="2:2" x14ac:dyDescent="0.2">
      <c r="B559" s="144"/>
    </row>
    <row r="560" spans="2:2" x14ac:dyDescent="0.2">
      <c r="B560" s="144"/>
    </row>
    <row r="561" spans="2:2" x14ac:dyDescent="0.2">
      <c r="B561" s="144"/>
    </row>
    <row r="562" spans="2:2" x14ac:dyDescent="0.2">
      <c r="B562" s="144"/>
    </row>
    <row r="563" spans="2:2" x14ac:dyDescent="0.2">
      <c r="B563" s="144"/>
    </row>
    <row r="564" spans="2:2" x14ac:dyDescent="0.2">
      <c r="B564" s="144"/>
    </row>
    <row r="565" spans="2:2" x14ac:dyDescent="0.2">
      <c r="B565" s="144"/>
    </row>
    <row r="566" spans="2:2" x14ac:dyDescent="0.2">
      <c r="B566" s="144"/>
    </row>
    <row r="567" spans="2:2" x14ac:dyDescent="0.2">
      <c r="B567" s="144"/>
    </row>
    <row r="568" spans="2:2" x14ac:dyDescent="0.2">
      <c r="B568" s="144"/>
    </row>
    <row r="569" spans="2:2" x14ac:dyDescent="0.2">
      <c r="B569" s="144"/>
    </row>
    <row r="570" spans="2:2" x14ac:dyDescent="0.2">
      <c r="B570" s="144"/>
    </row>
    <row r="571" spans="2:2" x14ac:dyDescent="0.2">
      <c r="B571" s="144"/>
    </row>
    <row r="572" spans="2:2" x14ac:dyDescent="0.2">
      <c r="B572" s="144"/>
    </row>
    <row r="573" spans="2:2" x14ac:dyDescent="0.2">
      <c r="B573" s="144"/>
    </row>
    <row r="574" spans="2:2" x14ac:dyDescent="0.2">
      <c r="B574" s="144"/>
    </row>
    <row r="575" spans="2:2" x14ac:dyDescent="0.2">
      <c r="B575" s="144"/>
    </row>
    <row r="576" spans="2:2" x14ac:dyDescent="0.2">
      <c r="B576" s="144"/>
    </row>
    <row r="577" spans="2:2" x14ac:dyDescent="0.2">
      <c r="B577" s="144"/>
    </row>
    <row r="578" spans="2:2" x14ac:dyDescent="0.2">
      <c r="B578" s="144"/>
    </row>
    <row r="579" spans="2:2" x14ac:dyDescent="0.2">
      <c r="B579" s="144"/>
    </row>
    <row r="580" spans="2:2" x14ac:dyDescent="0.2">
      <c r="B580" s="144"/>
    </row>
    <row r="581" spans="2:2" x14ac:dyDescent="0.2">
      <c r="B581" s="144"/>
    </row>
    <row r="582" spans="2:2" x14ac:dyDescent="0.2">
      <c r="B582" s="144"/>
    </row>
    <row r="583" spans="2:2" x14ac:dyDescent="0.2">
      <c r="B583" s="144"/>
    </row>
    <row r="584" spans="2:2" x14ac:dyDescent="0.2">
      <c r="B584" s="144"/>
    </row>
    <row r="585" spans="2:2" x14ac:dyDescent="0.2">
      <c r="B585" s="144"/>
    </row>
    <row r="586" spans="2:2" x14ac:dyDescent="0.2">
      <c r="B586" s="144"/>
    </row>
    <row r="587" spans="2:2" x14ac:dyDescent="0.2">
      <c r="B587" s="144"/>
    </row>
    <row r="588" spans="2:2" x14ac:dyDescent="0.2">
      <c r="B588" s="144"/>
    </row>
    <row r="589" spans="2:2" x14ac:dyDescent="0.2">
      <c r="B589" s="144"/>
    </row>
    <row r="590" spans="2:2" x14ac:dyDescent="0.2">
      <c r="B590" s="144"/>
    </row>
    <row r="591" spans="2:2" x14ac:dyDescent="0.2">
      <c r="B591" s="144"/>
    </row>
    <row r="592" spans="2:2" x14ac:dyDescent="0.2">
      <c r="B592" s="144"/>
    </row>
    <row r="593" spans="2:2" x14ac:dyDescent="0.2">
      <c r="B593" s="144"/>
    </row>
    <row r="594" spans="2:2" x14ac:dyDescent="0.2">
      <c r="B594" s="144"/>
    </row>
    <row r="595" spans="2:2" x14ac:dyDescent="0.2">
      <c r="B595" s="144"/>
    </row>
    <row r="596" spans="2:2" x14ac:dyDescent="0.2">
      <c r="B596" s="144"/>
    </row>
    <row r="597" spans="2:2" x14ac:dyDescent="0.2">
      <c r="B597" s="144"/>
    </row>
    <row r="598" spans="2:2" x14ac:dyDescent="0.2">
      <c r="B598" s="144"/>
    </row>
    <row r="599" spans="2:2" x14ac:dyDescent="0.2">
      <c r="B599" s="144"/>
    </row>
    <row r="600" spans="2:2" x14ac:dyDescent="0.2">
      <c r="B600" s="144"/>
    </row>
    <row r="601" spans="2:2" x14ac:dyDescent="0.2">
      <c r="B601" s="144"/>
    </row>
    <row r="602" spans="2:2" x14ac:dyDescent="0.2">
      <c r="B602" s="144"/>
    </row>
    <row r="603" spans="2:2" x14ac:dyDescent="0.2">
      <c r="B603" s="144"/>
    </row>
    <row r="604" spans="2:2" x14ac:dyDescent="0.2">
      <c r="B604" s="144"/>
    </row>
    <row r="605" spans="2:2" x14ac:dyDescent="0.2">
      <c r="B605" s="144"/>
    </row>
    <row r="606" spans="2:2" x14ac:dyDescent="0.2">
      <c r="B606" s="144"/>
    </row>
    <row r="607" spans="2:2" x14ac:dyDescent="0.2">
      <c r="B607" s="144"/>
    </row>
    <row r="608" spans="2:2" x14ac:dyDescent="0.2">
      <c r="B608" s="144"/>
    </row>
    <row r="609" spans="2:2" x14ac:dyDescent="0.2">
      <c r="B609" s="144"/>
    </row>
    <row r="610" spans="2:2" x14ac:dyDescent="0.2">
      <c r="B610" s="144"/>
    </row>
    <row r="611" spans="2:2" x14ac:dyDescent="0.2">
      <c r="B611" s="144"/>
    </row>
    <row r="612" spans="2:2" x14ac:dyDescent="0.2">
      <c r="B612" s="144"/>
    </row>
    <row r="613" spans="2:2" x14ac:dyDescent="0.2">
      <c r="B613" s="144"/>
    </row>
    <row r="614" spans="2:2" x14ac:dyDescent="0.2">
      <c r="B614" s="144"/>
    </row>
    <row r="615" spans="2:2" x14ac:dyDescent="0.2">
      <c r="B615" s="144"/>
    </row>
    <row r="616" spans="2:2" x14ac:dyDescent="0.2">
      <c r="B616" s="144"/>
    </row>
    <row r="617" spans="2:2" x14ac:dyDescent="0.2">
      <c r="B617" s="144"/>
    </row>
    <row r="618" spans="2:2" x14ac:dyDescent="0.2">
      <c r="B618" s="144"/>
    </row>
    <row r="619" spans="2:2" x14ac:dyDescent="0.2">
      <c r="B619" s="144"/>
    </row>
    <row r="620" spans="2:2" x14ac:dyDescent="0.2">
      <c r="B620" s="144"/>
    </row>
    <row r="621" spans="2:2" x14ac:dyDescent="0.2">
      <c r="B621" s="144"/>
    </row>
    <row r="622" spans="2:2" x14ac:dyDescent="0.2">
      <c r="B622" s="144"/>
    </row>
    <row r="623" spans="2:2" x14ac:dyDescent="0.2">
      <c r="B623" s="144"/>
    </row>
    <row r="624" spans="2:2" x14ac:dyDescent="0.2">
      <c r="B624" s="144"/>
    </row>
    <row r="625" spans="2:2" x14ac:dyDescent="0.2">
      <c r="B625" s="144"/>
    </row>
    <row r="626" spans="2:2" x14ac:dyDescent="0.2">
      <c r="B626" s="144"/>
    </row>
    <row r="627" spans="2:2" x14ac:dyDescent="0.2">
      <c r="B627" s="144"/>
    </row>
    <row r="628" spans="2:2" x14ac:dyDescent="0.2">
      <c r="B628" s="144"/>
    </row>
    <row r="629" spans="2:2" x14ac:dyDescent="0.2">
      <c r="B629" s="144"/>
    </row>
    <row r="630" spans="2:2" x14ac:dyDescent="0.2">
      <c r="B630" s="144"/>
    </row>
    <row r="631" spans="2:2" x14ac:dyDescent="0.2">
      <c r="B631" s="144"/>
    </row>
    <row r="632" spans="2:2" x14ac:dyDescent="0.2">
      <c r="B632" s="144"/>
    </row>
    <row r="633" spans="2:2" x14ac:dyDescent="0.2">
      <c r="B633" s="144"/>
    </row>
    <row r="634" spans="2:2" x14ac:dyDescent="0.2">
      <c r="B634" s="144"/>
    </row>
    <row r="635" spans="2:2" x14ac:dyDescent="0.2">
      <c r="B635" s="144"/>
    </row>
    <row r="636" spans="2:2" x14ac:dyDescent="0.2">
      <c r="B636" s="144"/>
    </row>
    <row r="637" spans="2:2" x14ac:dyDescent="0.2">
      <c r="B637" s="144"/>
    </row>
    <row r="638" spans="2:2" x14ac:dyDescent="0.2">
      <c r="B638" s="144"/>
    </row>
    <row r="639" spans="2:2" x14ac:dyDescent="0.2">
      <c r="B639" s="144"/>
    </row>
    <row r="640" spans="2:2" x14ac:dyDescent="0.2">
      <c r="B640" s="144"/>
    </row>
    <row r="641" spans="2:2" x14ac:dyDescent="0.2">
      <c r="B641" s="144"/>
    </row>
    <row r="642" spans="2:2" x14ac:dyDescent="0.2">
      <c r="B642" s="144"/>
    </row>
    <row r="643" spans="2:2" x14ac:dyDescent="0.2">
      <c r="B643" s="144"/>
    </row>
    <row r="644" spans="2:2" x14ac:dyDescent="0.2">
      <c r="B644" s="144"/>
    </row>
    <row r="645" spans="2:2" x14ac:dyDescent="0.2">
      <c r="B645" s="144"/>
    </row>
    <row r="646" spans="2:2" x14ac:dyDescent="0.2">
      <c r="B646" s="144"/>
    </row>
    <row r="647" spans="2:2" x14ac:dyDescent="0.2">
      <c r="B647" s="144"/>
    </row>
    <row r="648" spans="2:2" x14ac:dyDescent="0.2">
      <c r="B648" s="144"/>
    </row>
    <row r="649" spans="2:2" x14ac:dyDescent="0.2">
      <c r="B649" s="144"/>
    </row>
    <row r="650" spans="2:2" x14ac:dyDescent="0.2">
      <c r="B650" s="144"/>
    </row>
    <row r="651" spans="2:2" x14ac:dyDescent="0.2">
      <c r="B651" s="144"/>
    </row>
    <row r="652" spans="2:2" x14ac:dyDescent="0.2">
      <c r="B652" s="144"/>
    </row>
    <row r="653" spans="2:2" x14ac:dyDescent="0.2">
      <c r="B653" s="144"/>
    </row>
    <row r="654" spans="2:2" x14ac:dyDescent="0.2">
      <c r="B654" s="144"/>
    </row>
    <row r="655" spans="2:2" x14ac:dyDescent="0.2">
      <c r="B655" s="144"/>
    </row>
    <row r="656" spans="2:2" x14ac:dyDescent="0.2">
      <c r="B656" s="144"/>
    </row>
    <row r="657" spans="2:2" x14ac:dyDescent="0.2">
      <c r="B657" s="144"/>
    </row>
    <row r="658" spans="2:2" x14ac:dyDescent="0.2">
      <c r="B658" s="144"/>
    </row>
    <row r="659" spans="2:2" x14ac:dyDescent="0.2">
      <c r="B659" s="144"/>
    </row>
    <row r="660" spans="2:2" x14ac:dyDescent="0.2">
      <c r="B660" s="144"/>
    </row>
    <row r="661" spans="2:2" x14ac:dyDescent="0.2">
      <c r="B661" s="144"/>
    </row>
    <row r="662" spans="2:2" x14ac:dyDescent="0.2">
      <c r="B662" s="144"/>
    </row>
    <row r="663" spans="2:2" x14ac:dyDescent="0.2">
      <c r="B663" s="144"/>
    </row>
    <row r="664" spans="2:2" x14ac:dyDescent="0.2">
      <c r="B664" s="144"/>
    </row>
    <row r="665" spans="2:2" x14ac:dyDescent="0.2">
      <c r="B665" s="144"/>
    </row>
    <row r="666" spans="2:2" x14ac:dyDescent="0.2">
      <c r="B666" s="144"/>
    </row>
    <row r="667" spans="2:2" x14ac:dyDescent="0.2">
      <c r="B667" s="144"/>
    </row>
    <row r="668" spans="2:2" x14ac:dyDescent="0.2">
      <c r="B668" s="144"/>
    </row>
    <row r="669" spans="2:2" x14ac:dyDescent="0.2">
      <c r="B669" s="144"/>
    </row>
    <row r="670" spans="2:2" x14ac:dyDescent="0.2">
      <c r="B670" s="144"/>
    </row>
    <row r="671" spans="2:2" x14ac:dyDescent="0.2">
      <c r="B671" s="144"/>
    </row>
    <row r="672" spans="2:2" x14ac:dyDescent="0.2">
      <c r="B672" s="144"/>
    </row>
    <row r="673" spans="2:2" x14ac:dyDescent="0.2">
      <c r="B673" s="144"/>
    </row>
    <row r="674" spans="2:2" x14ac:dyDescent="0.2">
      <c r="B674" s="144"/>
    </row>
    <row r="675" spans="2:2" x14ac:dyDescent="0.2">
      <c r="B675" s="144"/>
    </row>
    <row r="676" spans="2:2" x14ac:dyDescent="0.2">
      <c r="B676" s="144"/>
    </row>
    <row r="677" spans="2:2" x14ac:dyDescent="0.2">
      <c r="B677" s="144"/>
    </row>
    <row r="678" spans="2:2" x14ac:dyDescent="0.2">
      <c r="B678" s="144"/>
    </row>
    <row r="679" spans="2:2" x14ac:dyDescent="0.2">
      <c r="B679" s="144"/>
    </row>
    <row r="680" spans="2:2" x14ac:dyDescent="0.2">
      <c r="B680" s="144"/>
    </row>
    <row r="681" spans="2:2" x14ac:dyDescent="0.2">
      <c r="B681" s="144"/>
    </row>
    <row r="682" spans="2:2" x14ac:dyDescent="0.2">
      <c r="B682" s="144"/>
    </row>
    <row r="683" spans="2:2" x14ac:dyDescent="0.2">
      <c r="B683" s="144"/>
    </row>
    <row r="684" spans="2:2" x14ac:dyDescent="0.2">
      <c r="B684" s="144"/>
    </row>
    <row r="685" spans="2:2" x14ac:dyDescent="0.2">
      <c r="B685" s="144"/>
    </row>
    <row r="686" spans="2:2" x14ac:dyDescent="0.2">
      <c r="B686" s="144"/>
    </row>
    <row r="687" spans="2:2" x14ac:dyDescent="0.2">
      <c r="B687" s="144"/>
    </row>
    <row r="688" spans="2:2" x14ac:dyDescent="0.2">
      <c r="B688" s="144"/>
    </row>
    <row r="689" spans="2:2" x14ac:dyDescent="0.2">
      <c r="B689" s="144"/>
    </row>
    <row r="690" spans="2:2" x14ac:dyDescent="0.2">
      <c r="B690" s="144"/>
    </row>
    <row r="691" spans="2:2" x14ac:dyDescent="0.2">
      <c r="B691" s="144"/>
    </row>
    <row r="692" spans="2:2" x14ac:dyDescent="0.2">
      <c r="B692" s="144"/>
    </row>
    <row r="693" spans="2:2" x14ac:dyDescent="0.2">
      <c r="B693" s="144"/>
    </row>
    <row r="694" spans="2:2" x14ac:dyDescent="0.2">
      <c r="B694" s="144"/>
    </row>
    <row r="695" spans="2:2" x14ac:dyDescent="0.2">
      <c r="B695" s="144"/>
    </row>
    <row r="696" spans="2:2" x14ac:dyDescent="0.2">
      <c r="B696" s="144"/>
    </row>
    <row r="697" spans="2:2" x14ac:dyDescent="0.2">
      <c r="B697" s="144"/>
    </row>
    <row r="698" spans="2:2" x14ac:dyDescent="0.2">
      <c r="B698" s="144"/>
    </row>
    <row r="699" spans="2:2" x14ac:dyDescent="0.2">
      <c r="B699" s="144"/>
    </row>
    <row r="700" spans="2:2" x14ac:dyDescent="0.2">
      <c r="B700" s="144"/>
    </row>
    <row r="701" spans="2:2" x14ac:dyDescent="0.2">
      <c r="B701" s="144"/>
    </row>
    <row r="702" spans="2:2" x14ac:dyDescent="0.2">
      <c r="B702" s="144"/>
    </row>
    <row r="703" spans="2:2" x14ac:dyDescent="0.2">
      <c r="B703" s="144"/>
    </row>
    <row r="704" spans="2:2" x14ac:dyDescent="0.2">
      <c r="B704" s="144"/>
    </row>
    <row r="705" spans="2:2" x14ac:dyDescent="0.2">
      <c r="B705" s="144"/>
    </row>
    <row r="706" spans="2:2" x14ac:dyDescent="0.2">
      <c r="B706" s="144"/>
    </row>
    <row r="707" spans="2:2" x14ac:dyDescent="0.2">
      <c r="B707" s="144"/>
    </row>
    <row r="708" spans="2:2" x14ac:dyDescent="0.2">
      <c r="B708" s="144"/>
    </row>
    <row r="709" spans="2:2" x14ac:dyDescent="0.2">
      <c r="B709" s="144"/>
    </row>
    <row r="710" spans="2:2" x14ac:dyDescent="0.2">
      <c r="B710" s="144"/>
    </row>
    <row r="711" spans="2:2" x14ac:dyDescent="0.2">
      <c r="B711" s="144"/>
    </row>
    <row r="712" spans="2:2" x14ac:dyDescent="0.2">
      <c r="B712" s="144"/>
    </row>
    <row r="713" spans="2:2" x14ac:dyDescent="0.2">
      <c r="B713" s="144"/>
    </row>
    <row r="714" spans="2:2" x14ac:dyDescent="0.2">
      <c r="B714" s="144"/>
    </row>
    <row r="715" spans="2:2" x14ac:dyDescent="0.2">
      <c r="B715" s="144"/>
    </row>
    <row r="716" spans="2:2" x14ac:dyDescent="0.2">
      <c r="B716" s="144"/>
    </row>
    <row r="717" spans="2:2" x14ac:dyDescent="0.2">
      <c r="B717" s="144"/>
    </row>
    <row r="718" spans="2:2" x14ac:dyDescent="0.2">
      <c r="B718" s="144"/>
    </row>
    <row r="719" spans="2:2" x14ac:dyDescent="0.2">
      <c r="B719" s="144"/>
    </row>
    <row r="720" spans="2:2" x14ac:dyDescent="0.2">
      <c r="B720" s="144"/>
    </row>
    <row r="721" spans="2:2" x14ac:dyDescent="0.2">
      <c r="B721" s="144"/>
    </row>
    <row r="722" spans="2:2" x14ac:dyDescent="0.2">
      <c r="B722" s="144"/>
    </row>
    <row r="723" spans="2:2" x14ac:dyDescent="0.2">
      <c r="B723" s="144"/>
    </row>
    <row r="724" spans="2:2" x14ac:dyDescent="0.2">
      <c r="B724" s="144"/>
    </row>
    <row r="725" spans="2:2" x14ac:dyDescent="0.2">
      <c r="B725" s="144"/>
    </row>
    <row r="726" spans="2:2" x14ac:dyDescent="0.2">
      <c r="B726" s="144"/>
    </row>
    <row r="727" spans="2:2" x14ac:dyDescent="0.2">
      <c r="B727" s="144"/>
    </row>
    <row r="728" spans="2:2" x14ac:dyDescent="0.2">
      <c r="B728" s="144"/>
    </row>
    <row r="729" spans="2:2" x14ac:dyDescent="0.2">
      <c r="B729" s="144"/>
    </row>
    <row r="730" spans="2:2" x14ac:dyDescent="0.2">
      <c r="B730" s="144"/>
    </row>
    <row r="731" spans="2:2" x14ac:dyDescent="0.2">
      <c r="B731" s="144"/>
    </row>
    <row r="732" spans="2:2" x14ac:dyDescent="0.2">
      <c r="B732" s="144"/>
    </row>
    <row r="733" spans="2:2" x14ac:dyDescent="0.2">
      <c r="B733" s="144"/>
    </row>
    <row r="734" spans="2:2" x14ac:dyDescent="0.2">
      <c r="B734" s="144"/>
    </row>
    <row r="735" spans="2:2" x14ac:dyDescent="0.2">
      <c r="B735" s="144"/>
    </row>
    <row r="736" spans="2:2" x14ac:dyDescent="0.2">
      <c r="B736" s="144"/>
    </row>
    <row r="737" spans="2:2" x14ac:dyDescent="0.2">
      <c r="B737" s="144"/>
    </row>
    <row r="738" spans="2:2" x14ac:dyDescent="0.2">
      <c r="B738" s="144"/>
    </row>
    <row r="739" spans="2:2" x14ac:dyDescent="0.2">
      <c r="B739" s="144"/>
    </row>
    <row r="740" spans="2:2" x14ac:dyDescent="0.2">
      <c r="B740" s="144"/>
    </row>
    <row r="741" spans="2:2" x14ac:dyDescent="0.2">
      <c r="B741" s="144"/>
    </row>
    <row r="742" spans="2:2" x14ac:dyDescent="0.2">
      <c r="B742" s="144"/>
    </row>
    <row r="743" spans="2:2" x14ac:dyDescent="0.2">
      <c r="B743" s="144"/>
    </row>
    <row r="744" spans="2:2" x14ac:dyDescent="0.2">
      <c r="B744" s="144"/>
    </row>
    <row r="745" spans="2:2" x14ac:dyDescent="0.2">
      <c r="B745" s="144"/>
    </row>
    <row r="746" spans="2:2" x14ac:dyDescent="0.2">
      <c r="B746" s="144"/>
    </row>
    <row r="747" spans="2:2" x14ac:dyDescent="0.2">
      <c r="B747" s="144"/>
    </row>
    <row r="748" spans="2:2" x14ac:dyDescent="0.2">
      <c r="B748" s="144"/>
    </row>
    <row r="749" spans="2:2" x14ac:dyDescent="0.2">
      <c r="B749" s="144"/>
    </row>
    <row r="750" spans="2:2" x14ac:dyDescent="0.2">
      <c r="B750" s="144"/>
    </row>
    <row r="751" spans="2:2" x14ac:dyDescent="0.2">
      <c r="B751" s="144"/>
    </row>
    <row r="752" spans="2:2" x14ac:dyDescent="0.2">
      <c r="B752" s="144"/>
    </row>
    <row r="753" spans="2:2" x14ac:dyDescent="0.2">
      <c r="B753" s="144"/>
    </row>
    <row r="754" spans="2:2" x14ac:dyDescent="0.2">
      <c r="B754" s="144"/>
    </row>
    <row r="755" spans="2:2" x14ac:dyDescent="0.2">
      <c r="B755" s="144"/>
    </row>
    <row r="756" spans="2:2" x14ac:dyDescent="0.2">
      <c r="B756" s="144"/>
    </row>
    <row r="757" spans="2:2" x14ac:dyDescent="0.2">
      <c r="B757" s="144"/>
    </row>
    <row r="758" spans="2:2" x14ac:dyDescent="0.2">
      <c r="B758" s="144"/>
    </row>
    <row r="759" spans="2:2" x14ac:dyDescent="0.2">
      <c r="B759" s="144"/>
    </row>
    <row r="760" spans="2:2" x14ac:dyDescent="0.2">
      <c r="B760" s="144"/>
    </row>
    <row r="761" spans="2:2" x14ac:dyDescent="0.2">
      <c r="B761" s="144"/>
    </row>
    <row r="762" spans="2:2" x14ac:dyDescent="0.2">
      <c r="B762" s="144"/>
    </row>
    <row r="763" spans="2:2" x14ac:dyDescent="0.2">
      <c r="B763" s="144"/>
    </row>
    <row r="764" spans="2:2" x14ac:dyDescent="0.2">
      <c r="B764" s="144"/>
    </row>
    <row r="765" spans="2:2" x14ac:dyDescent="0.2">
      <c r="B765" s="144"/>
    </row>
    <row r="766" spans="2:2" x14ac:dyDescent="0.2">
      <c r="B766" s="144"/>
    </row>
    <row r="767" spans="2:2" x14ac:dyDescent="0.2">
      <c r="B767" s="144"/>
    </row>
    <row r="768" spans="2:2" x14ac:dyDescent="0.2">
      <c r="B768" s="144"/>
    </row>
    <row r="769" spans="2:2" x14ac:dyDescent="0.2">
      <c r="B769" s="144"/>
    </row>
    <row r="770" spans="2:2" x14ac:dyDescent="0.2">
      <c r="B770" s="144"/>
    </row>
    <row r="771" spans="2:2" x14ac:dyDescent="0.2">
      <c r="B771" s="144"/>
    </row>
    <row r="772" spans="2:2" x14ac:dyDescent="0.2">
      <c r="B772" s="144"/>
    </row>
    <row r="773" spans="2:2" x14ac:dyDescent="0.2">
      <c r="B773" s="144"/>
    </row>
    <row r="774" spans="2:2" x14ac:dyDescent="0.2">
      <c r="B774" s="144"/>
    </row>
    <row r="775" spans="2:2" x14ac:dyDescent="0.2">
      <c r="B775" s="144"/>
    </row>
    <row r="776" spans="2:2" x14ac:dyDescent="0.2">
      <c r="B776" s="144"/>
    </row>
    <row r="777" spans="2:2" x14ac:dyDescent="0.2">
      <c r="B777" s="144"/>
    </row>
    <row r="778" spans="2:2" x14ac:dyDescent="0.2">
      <c r="B778" s="144"/>
    </row>
    <row r="779" spans="2:2" x14ac:dyDescent="0.2">
      <c r="B779" s="144"/>
    </row>
    <row r="780" spans="2:2" x14ac:dyDescent="0.2">
      <c r="B780" s="144"/>
    </row>
    <row r="781" spans="2:2" x14ac:dyDescent="0.2">
      <c r="B781" s="144"/>
    </row>
    <row r="782" spans="2:2" x14ac:dyDescent="0.2">
      <c r="B782" s="144"/>
    </row>
    <row r="783" spans="2:2" x14ac:dyDescent="0.2">
      <c r="B783" s="144"/>
    </row>
    <row r="784" spans="2:2" x14ac:dyDescent="0.2">
      <c r="B784" s="144"/>
    </row>
    <row r="785" spans="2:2" x14ac:dyDescent="0.2">
      <c r="B785" s="144"/>
    </row>
    <row r="786" spans="2:2" x14ac:dyDescent="0.2">
      <c r="B786" s="144"/>
    </row>
    <row r="787" spans="2:2" x14ac:dyDescent="0.2">
      <c r="B787" s="144"/>
    </row>
    <row r="788" spans="2:2" x14ac:dyDescent="0.2">
      <c r="B788" s="144"/>
    </row>
    <row r="789" spans="2:2" x14ac:dyDescent="0.2">
      <c r="B789" s="144"/>
    </row>
    <row r="790" spans="2:2" x14ac:dyDescent="0.2">
      <c r="B790" s="144"/>
    </row>
    <row r="791" spans="2:2" x14ac:dyDescent="0.2">
      <c r="B791" s="144"/>
    </row>
    <row r="792" spans="2:2" x14ac:dyDescent="0.2">
      <c r="B792" s="144"/>
    </row>
    <row r="793" spans="2:2" x14ac:dyDescent="0.2">
      <c r="B793" s="144"/>
    </row>
    <row r="794" spans="2:2" x14ac:dyDescent="0.2">
      <c r="B794" s="144"/>
    </row>
    <row r="795" spans="2:2" x14ac:dyDescent="0.2">
      <c r="B795" s="144"/>
    </row>
    <row r="796" spans="2:2" x14ac:dyDescent="0.2">
      <c r="B796" s="144"/>
    </row>
    <row r="797" spans="2:2" x14ac:dyDescent="0.2">
      <c r="B797" s="144"/>
    </row>
    <row r="798" spans="2:2" x14ac:dyDescent="0.2">
      <c r="B798" s="144"/>
    </row>
    <row r="799" spans="2:2" x14ac:dyDescent="0.2">
      <c r="B799" s="144"/>
    </row>
    <row r="800" spans="2:2" x14ac:dyDescent="0.2">
      <c r="B800" s="144"/>
    </row>
    <row r="801" spans="2:2" x14ac:dyDescent="0.2">
      <c r="B801" s="144"/>
    </row>
    <row r="802" spans="2:2" x14ac:dyDescent="0.2">
      <c r="B802" s="144"/>
    </row>
    <row r="803" spans="2:2" x14ac:dyDescent="0.2">
      <c r="B803" s="144"/>
    </row>
    <row r="804" spans="2:2" x14ac:dyDescent="0.2">
      <c r="B804" s="144"/>
    </row>
    <row r="805" spans="2:2" x14ac:dyDescent="0.2">
      <c r="B805" s="144"/>
    </row>
    <row r="806" spans="2:2" x14ac:dyDescent="0.2">
      <c r="B806" s="144"/>
    </row>
    <row r="807" spans="2:2" x14ac:dyDescent="0.2">
      <c r="B807" s="144"/>
    </row>
    <row r="808" spans="2:2" x14ac:dyDescent="0.2">
      <c r="B808" s="144"/>
    </row>
    <row r="809" spans="2:2" x14ac:dyDescent="0.2">
      <c r="B809" s="144"/>
    </row>
    <row r="810" spans="2:2" x14ac:dyDescent="0.2">
      <c r="B810" s="144"/>
    </row>
    <row r="811" spans="2:2" x14ac:dyDescent="0.2">
      <c r="B811" s="144"/>
    </row>
    <row r="812" spans="2:2" x14ac:dyDescent="0.2">
      <c r="B812" s="144"/>
    </row>
    <row r="813" spans="2:2" x14ac:dyDescent="0.2">
      <c r="B813" s="144"/>
    </row>
    <row r="814" spans="2:2" x14ac:dyDescent="0.2">
      <c r="B814" s="144"/>
    </row>
    <row r="815" spans="2:2" x14ac:dyDescent="0.2">
      <c r="B815" s="144"/>
    </row>
    <row r="816" spans="2:2" x14ac:dyDescent="0.2">
      <c r="B816" s="144"/>
    </row>
    <row r="817" spans="2:2" x14ac:dyDescent="0.2">
      <c r="B817" s="144"/>
    </row>
    <row r="818" spans="2:2" x14ac:dyDescent="0.2">
      <c r="B818" s="144"/>
    </row>
    <row r="819" spans="2:2" x14ac:dyDescent="0.2">
      <c r="B819" s="144"/>
    </row>
    <row r="820" spans="2:2" x14ac:dyDescent="0.2">
      <c r="B820" s="144"/>
    </row>
    <row r="821" spans="2:2" x14ac:dyDescent="0.2">
      <c r="B821" s="144"/>
    </row>
    <row r="822" spans="2:2" x14ac:dyDescent="0.2">
      <c r="B822" s="144"/>
    </row>
    <row r="823" spans="2:2" x14ac:dyDescent="0.2">
      <c r="B823" s="144"/>
    </row>
    <row r="824" spans="2:2" x14ac:dyDescent="0.2">
      <c r="B824" s="144"/>
    </row>
    <row r="825" spans="2:2" x14ac:dyDescent="0.2">
      <c r="B825" s="144"/>
    </row>
    <row r="826" spans="2:2" x14ac:dyDescent="0.2">
      <c r="B826" s="144"/>
    </row>
    <row r="827" spans="2:2" x14ac:dyDescent="0.2">
      <c r="B827" s="144"/>
    </row>
    <row r="828" spans="2:2" x14ac:dyDescent="0.2">
      <c r="B828" s="144"/>
    </row>
    <row r="829" spans="2:2" x14ac:dyDescent="0.2">
      <c r="B829" s="144"/>
    </row>
    <row r="830" spans="2:2" x14ac:dyDescent="0.2">
      <c r="B830" s="144"/>
    </row>
    <row r="831" spans="2:2" x14ac:dyDescent="0.2">
      <c r="B831" s="144"/>
    </row>
    <row r="832" spans="2:2" x14ac:dyDescent="0.2">
      <c r="B832" s="144"/>
    </row>
    <row r="833" spans="2:2" x14ac:dyDescent="0.2">
      <c r="B833" s="144"/>
    </row>
    <row r="834" spans="2:2" x14ac:dyDescent="0.2">
      <c r="B834" s="144"/>
    </row>
    <row r="835" spans="2:2" x14ac:dyDescent="0.2">
      <c r="B835" s="144"/>
    </row>
    <row r="836" spans="2:2" x14ac:dyDescent="0.2">
      <c r="B836" s="144"/>
    </row>
    <row r="837" spans="2:2" x14ac:dyDescent="0.2">
      <c r="B837" s="144"/>
    </row>
    <row r="838" spans="2:2" x14ac:dyDescent="0.2">
      <c r="B838" s="144"/>
    </row>
    <row r="839" spans="2:2" x14ac:dyDescent="0.2">
      <c r="B839" s="144"/>
    </row>
    <row r="840" spans="2:2" x14ac:dyDescent="0.2">
      <c r="B840" s="144"/>
    </row>
    <row r="841" spans="2:2" x14ac:dyDescent="0.2">
      <c r="B841" s="144"/>
    </row>
    <row r="842" spans="2:2" x14ac:dyDescent="0.2">
      <c r="B842" s="144"/>
    </row>
    <row r="843" spans="2:2" x14ac:dyDescent="0.2">
      <c r="B843" s="144"/>
    </row>
    <row r="844" spans="2:2" x14ac:dyDescent="0.2">
      <c r="B844" s="144"/>
    </row>
    <row r="845" spans="2:2" x14ac:dyDescent="0.2">
      <c r="B845" s="144"/>
    </row>
    <row r="846" spans="2:2" x14ac:dyDescent="0.2">
      <c r="B846" s="144"/>
    </row>
    <row r="847" spans="2:2" x14ac:dyDescent="0.2">
      <c r="B847" s="144"/>
    </row>
    <row r="848" spans="2:2" x14ac:dyDescent="0.2">
      <c r="B848" s="144"/>
    </row>
    <row r="849" spans="2:2" x14ac:dyDescent="0.2">
      <c r="B849" s="144"/>
    </row>
    <row r="850" spans="2:2" x14ac:dyDescent="0.2">
      <c r="B850" s="144"/>
    </row>
    <row r="851" spans="2:2" x14ac:dyDescent="0.2">
      <c r="B851" s="144"/>
    </row>
    <row r="852" spans="2:2" x14ac:dyDescent="0.2">
      <c r="B852" s="144"/>
    </row>
    <row r="853" spans="2:2" x14ac:dyDescent="0.2">
      <c r="B853" s="144"/>
    </row>
    <row r="854" spans="2:2" x14ac:dyDescent="0.2">
      <c r="B854" s="144"/>
    </row>
    <row r="855" spans="2:2" x14ac:dyDescent="0.2">
      <c r="B855" s="144"/>
    </row>
    <row r="856" spans="2:2" x14ac:dyDescent="0.2">
      <c r="B856" s="144"/>
    </row>
    <row r="857" spans="2:2" x14ac:dyDescent="0.2">
      <c r="B857" s="144"/>
    </row>
    <row r="858" spans="2:2" x14ac:dyDescent="0.2">
      <c r="B858" s="144"/>
    </row>
    <row r="859" spans="2:2" x14ac:dyDescent="0.2">
      <c r="B859" s="144"/>
    </row>
    <row r="860" spans="2:2" x14ac:dyDescent="0.2">
      <c r="B860" s="144"/>
    </row>
    <row r="861" spans="2:2" x14ac:dyDescent="0.2">
      <c r="B861" s="144"/>
    </row>
    <row r="862" spans="2:2" x14ac:dyDescent="0.2">
      <c r="B862" s="144"/>
    </row>
    <row r="863" spans="2:2" x14ac:dyDescent="0.2">
      <c r="B863" s="144"/>
    </row>
    <row r="864" spans="2:2" x14ac:dyDescent="0.2">
      <c r="B864" s="144"/>
    </row>
    <row r="865" spans="2:2" x14ac:dyDescent="0.2">
      <c r="B865" s="144"/>
    </row>
    <row r="866" spans="2:2" x14ac:dyDescent="0.2">
      <c r="B866" s="144"/>
    </row>
    <row r="867" spans="2:2" x14ac:dyDescent="0.2">
      <c r="B867" s="144"/>
    </row>
    <row r="868" spans="2:2" x14ac:dyDescent="0.2">
      <c r="B868" s="144"/>
    </row>
    <row r="869" spans="2:2" x14ac:dyDescent="0.2">
      <c r="B869" s="144"/>
    </row>
    <row r="870" spans="2:2" x14ac:dyDescent="0.2">
      <c r="B870" s="144"/>
    </row>
    <row r="871" spans="2:2" x14ac:dyDescent="0.2">
      <c r="B871" s="144"/>
    </row>
    <row r="872" spans="2:2" x14ac:dyDescent="0.2">
      <c r="B872" s="144"/>
    </row>
    <row r="873" spans="2:2" x14ac:dyDescent="0.2">
      <c r="B873" s="144"/>
    </row>
    <row r="874" spans="2:2" x14ac:dyDescent="0.2">
      <c r="B874" s="144"/>
    </row>
    <row r="875" spans="2:2" x14ac:dyDescent="0.2">
      <c r="B875" s="144"/>
    </row>
    <row r="876" spans="2:2" x14ac:dyDescent="0.2">
      <c r="B876" s="144"/>
    </row>
    <row r="877" spans="2:2" x14ac:dyDescent="0.2">
      <c r="B877" s="144"/>
    </row>
    <row r="878" spans="2:2" x14ac:dyDescent="0.2">
      <c r="B878" s="144"/>
    </row>
    <row r="879" spans="2:2" x14ac:dyDescent="0.2">
      <c r="B879" s="144"/>
    </row>
    <row r="880" spans="2:2" x14ac:dyDescent="0.2">
      <c r="B880" s="144"/>
    </row>
    <row r="881" spans="2:2" x14ac:dyDescent="0.2">
      <c r="B881" s="144"/>
    </row>
    <row r="882" spans="2:2" x14ac:dyDescent="0.2">
      <c r="B882" s="144"/>
    </row>
    <row r="883" spans="2:2" x14ac:dyDescent="0.2">
      <c r="B883" s="144"/>
    </row>
    <row r="884" spans="2:2" x14ac:dyDescent="0.2">
      <c r="B884" s="144"/>
    </row>
    <row r="885" spans="2:2" x14ac:dyDescent="0.2">
      <c r="B885" s="144"/>
    </row>
    <row r="886" spans="2:2" x14ac:dyDescent="0.2">
      <c r="B886" s="144"/>
    </row>
    <row r="887" spans="2:2" x14ac:dyDescent="0.2">
      <c r="B887" s="144"/>
    </row>
    <row r="888" spans="2:2" x14ac:dyDescent="0.2">
      <c r="B888" s="144"/>
    </row>
    <row r="889" spans="2:2" x14ac:dyDescent="0.2">
      <c r="B889" s="144"/>
    </row>
    <row r="890" spans="2:2" x14ac:dyDescent="0.2">
      <c r="B890" s="144"/>
    </row>
    <row r="891" spans="2:2" x14ac:dyDescent="0.2">
      <c r="B891" s="144"/>
    </row>
    <row r="892" spans="2:2" x14ac:dyDescent="0.2">
      <c r="B892" s="144"/>
    </row>
    <row r="893" spans="2:2" x14ac:dyDescent="0.2">
      <c r="B893" s="144"/>
    </row>
    <row r="894" spans="2:2" x14ac:dyDescent="0.2">
      <c r="B894" s="144"/>
    </row>
    <row r="895" spans="2:2" x14ac:dyDescent="0.2">
      <c r="B895" s="144"/>
    </row>
    <row r="896" spans="2:2" x14ac:dyDescent="0.2">
      <c r="B896" s="144"/>
    </row>
    <row r="897" spans="2:2" x14ac:dyDescent="0.2">
      <c r="B897" s="144"/>
    </row>
    <row r="898" spans="2:2" x14ac:dyDescent="0.2">
      <c r="B898" s="144"/>
    </row>
    <row r="899" spans="2:2" x14ac:dyDescent="0.2">
      <c r="B899" s="144"/>
    </row>
    <row r="900" spans="2:2" x14ac:dyDescent="0.2">
      <c r="B900" s="144"/>
    </row>
    <row r="901" spans="2:2" x14ac:dyDescent="0.2">
      <c r="B901" s="144"/>
    </row>
    <row r="902" spans="2:2" x14ac:dyDescent="0.2">
      <c r="B902" s="144"/>
    </row>
    <row r="903" spans="2:2" x14ac:dyDescent="0.2">
      <c r="B903" s="144"/>
    </row>
    <row r="904" spans="2:2" x14ac:dyDescent="0.2">
      <c r="B904" s="144"/>
    </row>
    <row r="905" spans="2:2" x14ac:dyDescent="0.2">
      <c r="B905" s="144"/>
    </row>
    <row r="906" spans="2:2" x14ac:dyDescent="0.2">
      <c r="B906" s="144"/>
    </row>
    <row r="907" spans="2:2" x14ac:dyDescent="0.2">
      <c r="B907" s="144"/>
    </row>
    <row r="908" spans="2:2" x14ac:dyDescent="0.2">
      <c r="B908" s="144"/>
    </row>
    <row r="909" spans="2:2" x14ac:dyDescent="0.2">
      <c r="B909" s="144"/>
    </row>
    <row r="910" spans="2:2" x14ac:dyDescent="0.2">
      <c r="B910" s="144"/>
    </row>
    <row r="911" spans="2:2" x14ac:dyDescent="0.2">
      <c r="B911" s="144"/>
    </row>
    <row r="912" spans="2:2" x14ac:dyDescent="0.2">
      <c r="B912" s="144"/>
    </row>
    <row r="913" spans="2:2" x14ac:dyDescent="0.2">
      <c r="B913" s="144"/>
    </row>
    <row r="914" spans="2:2" x14ac:dyDescent="0.2">
      <c r="B914" s="144"/>
    </row>
    <row r="915" spans="2:2" x14ac:dyDescent="0.2">
      <c r="B915" s="144"/>
    </row>
    <row r="916" spans="2:2" x14ac:dyDescent="0.2">
      <c r="B916" s="144"/>
    </row>
    <row r="917" spans="2:2" x14ac:dyDescent="0.2">
      <c r="B917" s="144"/>
    </row>
    <row r="918" spans="2:2" x14ac:dyDescent="0.2">
      <c r="B918" s="144"/>
    </row>
    <row r="919" spans="2:2" x14ac:dyDescent="0.2">
      <c r="B919" s="144"/>
    </row>
    <row r="920" spans="2:2" x14ac:dyDescent="0.2">
      <c r="B920" s="144"/>
    </row>
    <row r="921" spans="2:2" x14ac:dyDescent="0.2">
      <c r="B921" s="144"/>
    </row>
    <row r="922" spans="2:2" x14ac:dyDescent="0.2">
      <c r="B922" s="144"/>
    </row>
    <row r="923" spans="2:2" x14ac:dyDescent="0.2">
      <c r="B923" s="144"/>
    </row>
    <row r="924" spans="2:2" x14ac:dyDescent="0.2">
      <c r="B924" s="144"/>
    </row>
    <row r="925" spans="2:2" x14ac:dyDescent="0.2">
      <c r="B925" s="144"/>
    </row>
    <row r="926" spans="2:2" x14ac:dyDescent="0.2">
      <c r="B926" s="144"/>
    </row>
    <row r="927" spans="2:2" x14ac:dyDescent="0.2">
      <c r="B927" s="144"/>
    </row>
    <row r="928" spans="2:2" x14ac:dyDescent="0.2">
      <c r="B928" s="144"/>
    </row>
    <row r="929" spans="2:2" x14ac:dyDescent="0.2">
      <c r="B929" s="144"/>
    </row>
    <row r="930" spans="2:2" x14ac:dyDescent="0.2">
      <c r="B930" s="144"/>
    </row>
    <row r="931" spans="2:2" x14ac:dyDescent="0.2">
      <c r="B931" s="144"/>
    </row>
    <row r="932" spans="2:2" x14ac:dyDescent="0.2">
      <c r="B932" s="144"/>
    </row>
    <row r="933" spans="2:2" x14ac:dyDescent="0.2">
      <c r="B933" s="144"/>
    </row>
    <row r="934" spans="2:2" x14ac:dyDescent="0.2">
      <c r="B934" s="144"/>
    </row>
    <row r="935" spans="2:2" x14ac:dyDescent="0.2">
      <c r="B935" s="144"/>
    </row>
    <row r="936" spans="2:2" x14ac:dyDescent="0.2">
      <c r="B936" s="144"/>
    </row>
    <row r="937" spans="2:2" x14ac:dyDescent="0.2">
      <c r="B937" s="144"/>
    </row>
    <row r="938" spans="2:2" x14ac:dyDescent="0.2">
      <c r="B938" s="144"/>
    </row>
    <row r="939" spans="2:2" x14ac:dyDescent="0.2">
      <c r="B939" s="144"/>
    </row>
    <row r="940" spans="2:2" x14ac:dyDescent="0.2">
      <c r="B940" s="144"/>
    </row>
    <row r="941" spans="2:2" x14ac:dyDescent="0.2">
      <c r="B941" s="144"/>
    </row>
    <row r="942" spans="2:2" x14ac:dyDescent="0.2">
      <c r="B942" s="144"/>
    </row>
    <row r="943" spans="2:2" x14ac:dyDescent="0.2">
      <c r="B943" s="144"/>
    </row>
    <row r="944" spans="2:2" x14ac:dyDescent="0.2">
      <c r="B944" s="144"/>
    </row>
    <row r="945" spans="2:2" x14ac:dyDescent="0.2">
      <c r="B945" s="144"/>
    </row>
    <row r="946" spans="2:2" x14ac:dyDescent="0.2">
      <c r="B946" s="144"/>
    </row>
    <row r="947" spans="2:2" x14ac:dyDescent="0.2">
      <c r="B947" s="144"/>
    </row>
    <row r="948" spans="2:2" x14ac:dyDescent="0.2">
      <c r="B948" s="144"/>
    </row>
    <row r="949" spans="2:2" x14ac:dyDescent="0.2">
      <c r="B949" s="144"/>
    </row>
    <row r="950" spans="2:2" x14ac:dyDescent="0.2">
      <c r="B950" s="144"/>
    </row>
    <row r="951" spans="2:2" x14ac:dyDescent="0.2">
      <c r="B951" s="144"/>
    </row>
    <row r="952" spans="2:2" x14ac:dyDescent="0.2">
      <c r="B952" s="144"/>
    </row>
    <row r="953" spans="2:2" x14ac:dyDescent="0.2">
      <c r="B953" s="144"/>
    </row>
    <row r="954" spans="2:2" x14ac:dyDescent="0.2">
      <c r="B954" s="144"/>
    </row>
    <row r="955" spans="2:2" x14ac:dyDescent="0.2">
      <c r="B955" s="144"/>
    </row>
    <row r="956" spans="2:2" x14ac:dyDescent="0.2">
      <c r="B956" s="144"/>
    </row>
    <row r="957" spans="2:2" x14ac:dyDescent="0.2">
      <c r="B957" s="144"/>
    </row>
    <row r="958" spans="2:2" x14ac:dyDescent="0.2">
      <c r="B958" s="144"/>
    </row>
    <row r="959" spans="2:2" x14ac:dyDescent="0.2">
      <c r="B959" s="144"/>
    </row>
    <row r="960" spans="2:2" x14ac:dyDescent="0.2">
      <c r="B960" s="144"/>
    </row>
    <row r="961" spans="2:2" x14ac:dyDescent="0.2">
      <c r="B961" s="144"/>
    </row>
    <row r="962" spans="2:2" x14ac:dyDescent="0.2">
      <c r="B962" s="144"/>
    </row>
    <row r="963" spans="2:2" x14ac:dyDescent="0.2">
      <c r="B963" s="144"/>
    </row>
    <row r="964" spans="2:2" x14ac:dyDescent="0.2">
      <c r="B964" s="144"/>
    </row>
    <row r="965" spans="2:2" x14ac:dyDescent="0.2">
      <c r="B965" s="144"/>
    </row>
    <row r="966" spans="2:2" x14ac:dyDescent="0.2">
      <c r="B966" s="144"/>
    </row>
    <row r="967" spans="2:2" x14ac:dyDescent="0.2">
      <c r="B967" s="144"/>
    </row>
    <row r="968" spans="2:2" x14ac:dyDescent="0.2">
      <c r="B968" s="144"/>
    </row>
    <row r="969" spans="2:2" x14ac:dyDescent="0.2">
      <c r="B969" s="144"/>
    </row>
    <row r="970" spans="2:2" x14ac:dyDescent="0.2">
      <c r="B970" s="144"/>
    </row>
    <row r="971" spans="2:2" x14ac:dyDescent="0.2">
      <c r="B971" s="144"/>
    </row>
    <row r="972" spans="2:2" x14ac:dyDescent="0.2">
      <c r="B972" s="144"/>
    </row>
    <row r="973" spans="2:2" x14ac:dyDescent="0.2">
      <c r="B973" s="144"/>
    </row>
    <row r="974" spans="2:2" x14ac:dyDescent="0.2">
      <c r="B974" s="144"/>
    </row>
    <row r="975" spans="2:2" x14ac:dyDescent="0.2">
      <c r="B975" s="144"/>
    </row>
    <row r="976" spans="2:2" x14ac:dyDescent="0.2">
      <c r="B976" s="144"/>
    </row>
    <row r="977" spans="2:2" x14ac:dyDescent="0.2">
      <c r="B977" s="144"/>
    </row>
    <row r="978" spans="2:2" x14ac:dyDescent="0.2">
      <c r="B978" s="144"/>
    </row>
    <row r="979" spans="2:2" x14ac:dyDescent="0.2">
      <c r="B979" s="144"/>
    </row>
    <row r="980" spans="2:2" x14ac:dyDescent="0.2">
      <c r="B980" s="144"/>
    </row>
    <row r="981" spans="2:2" x14ac:dyDescent="0.2">
      <c r="B981" s="144"/>
    </row>
    <row r="982" spans="2:2" x14ac:dyDescent="0.2">
      <c r="B982" s="144"/>
    </row>
    <row r="983" spans="2:2" x14ac:dyDescent="0.2">
      <c r="B983" s="144"/>
    </row>
    <row r="984" spans="2:2" x14ac:dyDescent="0.2">
      <c r="B984" s="144"/>
    </row>
    <row r="985" spans="2:2" x14ac:dyDescent="0.2">
      <c r="B985" s="144"/>
    </row>
    <row r="986" spans="2:2" x14ac:dyDescent="0.2">
      <c r="B986" s="144"/>
    </row>
    <row r="987" spans="2:2" x14ac:dyDescent="0.2">
      <c r="B987" s="144"/>
    </row>
    <row r="988" spans="2:2" x14ac:dyDescent="0.2">
      <c r="B988" s="144"/>
    </row>
    <row r="989" spans="2:2" x14ac:dyDescent="0.2">
      <c r="B989" s="144"/>
    </row>
    <row r="990" spans="2:2" x14ac:dyDescent="0.2">
      <c r="B990" s="144"/>
    </row>
    <row r="991" spans="2:2" x14ac:dyDescent="0.2">
      <c r="B991" s="144"/>
    </row>
    <row r="992" spans="2:2" x14ac:dyDescent="0.2">
      <c r="B992" s="144"/>
    </row>
    <row r="993" spans="2:2" x14ac:dyDescent="0.2">
      <c r="B993" s="144"/>
    </row>
  </sheetData>
  <mergeCells count="11">
    <mergeCell ref="B24:B26"/>
    <mergeCell ref="B27:B30"/>
    <mergeCell ref="B31:B34"/>
    <mergeCell ref="B35:B38"/>
    <mergeCell ref="B39:B42"/>
    <mergeCell ref="B21:B23"/>
    <mergeCell ref="B5:B7"/>
    <mergeCell ref="B8:B10"/>
    <mergeCell ref="B11:B13"/>
    <mergeCell ref="B14:B17"/>
    <mergeCell ref="B18:B20"/>
  </mergeCells>
  <phoneticPr fontId="39"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25633-47FF-4D3B-9B53-D6F8FCB94CF5}">
  <sheetPr>
    <tabColor rgb="FF0070C0"/>
  </sheetPr>
  <dimension ref="A1:E84"/>
  <sheetViews>
    <sheetView showGridLines="0" topLeftCell="A59" zoomScale="80" zoomScaleNormal="80" workbookViewId="0">
      <selection activeCell="B78" sqref="B78"/>
    </sheetView>
  </sheetViews>
  <sheetFormatPr baseColWidth="10" defaultRowHeight="14.25" x14ac:dyDescent="0.2"/>
  <cols>
    <col min="1" max="1" width="3.375" style="185" customWidth="1"/>
    <col min="2" max="2" width="61.75" style="185" customWidth="1"/>
    <col min="3" max="3" width="15.25" style="185" bestFit="1" customWidth="1"/>
    <col min="4" max="4" width="18.625" style="185" customWidth="1"/>
    <col min="5" max="5" width="27.75" style="185" bestFit="1" customWidth="1"/>
    <col min="6" max="6" width="11" style="185"/>
    <col min="7" max="8" width="20.5" style="185" customWidth="1"/>
    <col min="9" max="16384" width="11" style="185"/>
  </cols>
  <sheetData>
    <row r="1" spans="2:5" ht="23.25" hidden="1" x14ac:dyDescent="0.35">
      <c r="B1" s="184">
        <v>44348</v>
      </c>
    </row>
    <row r="2" spans="2:5" s="188" customFormat="1" ht="51" hidden="1" customHeight="1" x14ac:dyDescent="0.2">
      <c r="B2" s="186" t="s">
        <v>787</v>
      </c>
      <c r="C2" s="187" t="s">
        <v>307</v>
      </c>
      <c r="D2" s="187" t="s">
        <v>308</v>
      </c>
      <c r="E2" s="187" t="s">
        <v>309</v>
      </c>
    </row>
    <row r="3" spans="2:5" s="191" customFormat="1" ht="30.75" hidden="1" customHeight="1" x14ac:dyDescent="0.2">
      <c r="B3" s="189" t="s">
        <v>788</v>
      </c>
      <c r="C3" s="190">
        <v>66</v>
      </c>
      <c r="D3" s="190">
        <v>82.39</v>
      </c>
      <c r="E3" s="190">
        <v>82.27</v>
      </c>
    </row>
    <row r="4" spans="2:5" s="191" customFormat="1" ht="30.75" hidden="1" customHeight="1" x14ac:dyDescent="0.2">
      <c r="B4" s="189" t="s">
        <v>790</v>
      </c>
      <c r="C4" s="190">
        <v>52</v>
      </c>
      <c r="D4" s="190">
        <v>86.69</v>
      </c>
      <c r="E4" s="190">
        <v>86.31</v>
      </c>
    </row>
    <row r="5" spans="2:5" s="191" customFormat="1" ht="30.75" hidden="1" customHeight="1" x14ac:dyDescent="0.2">
      <c r="B5" s="192" t="s">
        <v>791</v>
      </c>
      <c r="C5" s="193">
        <v>11</v>
      </c>
      <c r="D5" s="193">
        <v>71.42</v>
      </c>
      <c r="E5" s="193">
        <v>71.27</v>
      </c>
    </row>
    <row r="6" spans="2:5" s="191" customFormat="1" ht="30.75" hidden="1" customHeight="1" x14ac:dyDescent="0.2">
      <c r="B6" s="192" t="s">
        <v>792</v>
      </c>
      <c r="C6" s="193">
        <v>24</v>
      </c>
      <c r="D6" s="193">
        <v>77.98</v>
      </c>
      <c r="E6" s="190">
        <v>80.58</v>
      </c>
    </row>
    <row r="7" spans="2:5" s="191" customFormat="1" ht="30.75" hidden="1" customHeight="1" x14ac:dyDescent="0.2">
      <c r="B7" s="194" t="s">
        <v>819</v>
      </c>
      <c r="C7" s="190">
        <v>5</v>
      </c>
      <c r="D7" s="190">
        <v>91.02</v>
      </c>
      <c r="E7" s="190">
        <v>93.6</v>
      </c>
    </row>
    <row r="8" spans="2:5" s="197" customFormat="1" ht="20.25" hidden="1" x14ac:dyDescent="0.2">
      <c r="B8" s="195" t="s">
        <v>271</v>
      </c>
      <c r="C8" s="196">
        <f>SUM(C3:C7)</f>
        <v>158</v>
      </c>
    </row>
    <row r="9" spans="2:5" hidden="1" x14ac:dyDescent="0.2"/>
    <row r="10" spans="2:5" ht="23.25" hidden="1" x14ac:dyDescent="0.35">
      <c r="B10" s="184">
        <v>44531</v>
      </c>
    </row>
    <row r="11" spans="2:5" ht="51" hidden="1" customHeight="1" x14ac:dyDescent="0.2">
      <c r="B11" s="186" t="s">
        <v>787</v>
      </c>
      <c r="C11" s="187" t="s">
        <v>307</v>
      </c>
      <c r="D11" s="187" t="s">
        <v>308</v>
      </c>
      <c r="E11" s="187" t="s">
        <v>309</v>
      </c>
    </row>
    <row r="12" spans="2:5" ht="30.75" hidden="1" customHeight="1" x14ac:dyDescent="0.2">
      <c r="B12" s="189" t="s">
        <v>788</v>
      </c>
      <c r="C12" s="190">
        <v>75</v>
      </c>
      <c r="D12" s="198">
        <v>83.814033273209688</v>
      </c>
      <c r="E12" s="198">
        <v>84.421052631578945</v>
      </c>
    </row>
    <row r="13" spans="2:5" ht="30.75" hidden="1" customHeight="1" x14ac:dyDescent="0.2">
      <c r="B13" s="189" t="s">
        <v>790</v>
      </c>
      <c r="C13" s="190">
        <v>54</v>
      </c>
      <c r="D13" s="198">
        <v>80.535692429258361</v>
      </c>
      <c r="E13" s="198">
        <v>82.703703703703709</v>
      </c>
    </row>
    <row r="14" spans="2:5" ht="30.75" hidden="1" customHeight="1" x14ac:dyDescent="0.2">
      <c r="B14" s="192" t="s">
        <v>791</v>
      </c>
      <c r="C14" s="193">
        <v>13</v>
      </c>
      <c r="D14" s="199">
        <v>77.668089773325946</v>
      </c>
      <c r="E14" s="199">
        <v>68.92307692307692</v>
      </c>
    </row>
    <row r="15" spans="2:5" ht="30.75" hidden="1" customHeight="1" x14ac:dyDescent="0.2">
      <c r="B15" s="189" t="s">
        <v>792</v>
      </c>
      <c r="C15" s="190">
        <v>29</v>
      </c>
      <c r="D15" s="198">
        <v>81.847156084925942</v>
      </c>
      <c r="E15" s="198">
        <v>81.517241379310349</v>
      </c>
    </row>
    <row r="16" spans="2:5" ht="30.75" hidden="1" customHeight="1" x14ac:dyDescent="0.2">
      <c r="B16" s="194" t="s">
        <v>819</v>
      </c>
      <c r="C16" s="190">
        <v>3</v>
      </c>
      <c r="D16" s="198">
        <v>90.010253744372122</v>
      </c>
      <c r="E16" s="198">
        <v>92.666666666666671</v>
      </c>
    </row>
    <row r="17" spans="1:5" ht="20.25" hidden="1" x14ac:dyDescent="0.2">
      <c r="B17" s="195" t="s">
        <v>271</v>
      </c>
      <c r="C17" s="196">
        <f>SUM(C12:C16)</f>
        <v>174</v>
      </c>
      <c r="D17" s="197"/>
      <c r="E17" s="197"/>
    </row>
    <row r="18" spans="1:5" hidden="1" x14ac:dyDescent="0.2"/>
    <row r="19" spans="1:5" hidden="1" x14ac:dyDescent="0.2"/>
    <row r="20" spans="1:5" ht="23.25" hidden="1" x14ac:dyDescent="0.35">
      <c r="B20" s="184">
        <v>44713</v>
      </c>
    </row>
    <row r="21" spans="1:5" ht="45" hidden="1" x14ac:dyDescent="0.2">
      <c r="B21" s="186" t="s">
        <v>787</v>
      </c>
      <c r="C21" s="187" t="s">
        <v>307</v>
      </c>
      <c r="D21" s="187" t="s">
        <v>308</v>
      </c>
      <c r="E21" s="187" t="s">
        <v>309</v>
      </c>
    </row>
    <row r="22" spans="1:5" ht="27.75" hidden="1" customHeight="1" x14ac:dyDescent="0.2">
      <c r="B22" s="189" t="s">
        <v>788</v>
      </c>
      <c r="C22" s="190">
        <v>55</v>
      </c>
      <c r="D22" s="198">
        <v>86.410407374557437</v>
      </c>
      <c r="E22" s="198">
        <v>85.6</v>
      </c>
    </row>
    <row r="26" spans="1:5" s="200" customFormat="1" ht="21.75" customHeight="1" x14ac:dyDescent="0.2">
      <c r="B26" s="201" t="s">
        <v>802</v>
      </c>
    </row>
    <row r="27" spans="1:5" x14ac:dyDescent="0.2">
      <c r="A27" s="202"/>
      <c r="B27" s="203"/>
      <c r="C27" s="203"/>
      <c r="D27" s="204"/>
    </row>
    <row r="28" spans="1:5" x14ac:dyDescent="0.2">
      <c r="A28" s="173" t="s">
        <v>803</v>
      </c>
      <c r="B28" s="174" t="s">
        <v>84</v>
      </c>
      <c r="C28" s="175">
        <v>35</v>
      </c>
      <c r="D28" s="208">
        <f t="shared" ref="D28:D44" si="0">C28/253</f>
        <v>0.13833992094861661</v>
      </c>
    </row>
    <row r="29" spans="1:5" x14ac:dyDescent="0.2">
      <c r="A29" s="173" t="s">
        <v>804</v>
      </c>
      <c r="B29" s="174" t="s">
        <v>74</v>
      </c>
      <c r="C29" s="175">
        <v>29</v>
      </c>
      <c r="D29" s="208">
        <f t="shared" si="0"/>
        <v>0.11462450592885376</v>
      </c>
    </row>
    <row r="30" spans="1:5" x14ac:dyDescent="0.2">
      <c r="A30" s="173" t="s">
        <v>396</v>
      </c>
      <c r="B30" s="174" t="s">
        <v>83</v>
      </c>
      <c r="C30" s="175">
        <v>25</v>
      </c>
      <c r="D30" s="208">
        <f t="shared" si="0"/>
        <v>9.8814229249011856E-2</v>
      </c>
    </row>
    <row r="31" spans="1:5" x14ac:dyDescent="0.2">
      <c r="A31" s="173" t="s">
        <v>360</v>
      </c>
      <c r="B31" s="174" t="s">
        <v>78</v>
      </c>
      <c r="C31" s="175">
        <v>23</v>
      </c>
      <c r="D31" s="208">
        <f t="shared" si="0"/>
        <v>9.0909090909090912E-2</v>
      </c>
    </row>
    <row r="32" spans="1:5" x14ac:dyDescent="0.2">
      <c r="A32" s="173" t="s">
        <v>805</v>
      </c>
      <c r="B32" s="174" t="s">
        <v>86</v>
      </c>
      <c r="C32" s="175">
        <v>23</v>
      </c>
      <c r="D32" s="208">
        <f t="shared" si="0"/>
        <v>9.0909090909090912E-2</v>
      </c>
    </row>
    <row r="33" spans="1:4" x14ac:dyDescent="0.2">
      <c r="A33" s="173" t="s">
        <v>809</v>
      </c>
      <c r="B33" s="174" t="s">
        <v>85</v>
      </c>
      <c r="C33" s="175">
        <v>17</v>
      </c>
      <c r="D33" s="208">
        <f t="shared" si="0"/>
        <v>6.7193675889328064E-2</v>
      </c>
    </row>
    <row r="34" spans="1:4" x14ac:dyDescent="0.2">
      <c r="A34" s="173" t="s">
        <v>807</v>
      </c>
      <c r="B34" s="174" t="s">
        <v>73</v>
      </c>
      <c r="C34" s="175">
        <v>16</v>
      </c>
      <c r="D34" s="208">
        <f t="shared" si="0"/>
        <v>6.3241106719367585E-2</v>
      </c>
    </row>
    <row r="35" spans="1:4" x14ac:dyDescent="0.2">
      <c r="A35" s="173" t="s">
        <v>806</v>
      </c>
      <c r="B35" s="174" t="s">
        <v>88</v>
      </c>
      <c r="C35" s="175">
        <v>13</v>
      </c>
      <c r="D35" s="208">
        <f t="shared" si="0"/>
        <v>5.1383399209486168E-2</v>
      </c>
    </row>
    <row r="36" spans="1:4" x14ac:dyDescent="0.2">
      <c r="A36" s="173" t="s">
        <v>808</v>
      </c>
      <c r="B36" s="174" t="s">
        <v>75</v>
      </c>
      <c r="C36" s="175">
        <v>12</v>
      </c>
      <c r="D36" s="208">
        <f t="shared" si="0"/>
        <v>4.7430830039525688E-2</v>
      </c>
    </row>
    <row r="37" spans="1:4" x14ac:dyDescent="0.2">
      <c r="A37" s="173" t="s">
        <v>812</v>
      </c>
      <c r="B37" s="174" t="s">
        <v>76</v>
      </c>
      <c r="C37" s="175">
        <v>12</v>
      </c>
      <c r="D37" s="208">
        <f t="shared" si="0"/>
        <v>4.7430830039525688E-2</v>
      </c>
    </row>
    <row r="38" spans="1:4" x14ac:dyDescent="0.2">
      <c r="A38" s="176" t="s">
        <v>815</v>
      </c>
      <c r="B38" s="177" t="s">
        <v>79</v>
      </c>
      <c r="C38" s="178">
        <v>11</v>
      </c>
      <c r="D38" s="212">
        <f t="shared" si="0"/>
        <v>4.3478260869565216E-2</v>
      </c>
    </row>
    <row r="39" spans="1:4" x14ac:dyDescent="0.2">
      <c r="A39" s="176" t="s">
        <v>351</v>
      </c>
      <c r="B39" s="177" t="s">
        <v>811</v>
      </c>
      <c r="C39" s="178">
        <v>9</v>
      </c>
      <c r="D39" s="212">
        <f t="shared" si="0"/>
        <v>3.5573122529644272E-2</v>
      </c>
    </row>
    <row r="40" spans="1:4" x14ac:dyDescent="0.2">
      <c r="A40" s="176" t="s">
        <v>817</v>
      </c>
      <c r="B40" s="177" t="s">
        <v>87</v>
      </c>
      <c r="C40" s="178">
        <v>8</v>
      </c>
      <c r="D40" s="212">
        <f t="shared" si="0"/>
        <v>3.1620553359683792E-2</v>
      </c>
    </row>
    <row r="41" spans="1:4" x14ac:dyDescent="0.2">
      <c r="A41" s="176" t="s">
        <v>814</v>
      </c>
      <c r="B41" s="177" t="s">
        <v>77</v>
      </c>
      <c r="C41" s="178">
        <v>7</v>
      </c>
      <c r="D41" s="212">
        <f t="shared" si="0"/>
        <v>2.766798418972332E-2</v>
      </c>
    </row>
    <row r="42" spans="1:4" x14ac:dyDescent="0.2">
      <c r="A42" s="176" t="s">
        <v>810</v>
      </c>
      <c r="B42" s="177" t="s">
        <v>81</v>
      </c>
      <c r="C42" s="178">
        <v>6</v>
      </c>
      <c r="D42" s="212">
        <f t="shared" si="0"/>
        <v>2.3715415019762844E-2</v>
      </c>
    </row>
    <row r="43" spans="1:4" x14ac:dyDescent="0.2">
      <c r="A43" s="176" t="s">
        <v>813</v>
      </c>
      <c r="B43" s="177" t="s">
        <v>80</v>
      </c>
      <c r="C43" s="178">
        <v>5</v>
      </c>
      <c r="D43" s="212">
        <f t="shared" si="0"/>
        <v>1.9762845849802372E-2</v>
      </c>
    </row>
    <row r="44" spans="1:4" x14ac:dyDescent="0.2">
      <c r="A44" s="179" t="s">
        <v>816</v>
      </c>
      <c r="B44" s="180" t="s">
        <v>82</v>
      </c>
      <c r="C44" s="181">
        <v>2</v>
      </c>
      <c r="D44" s="217">
        <f t="shared" si="0"/>
        <v>7.9051383399209481E-3</v>
      </c>
    </row>
    <row r="45" spans="1:4" x14ac:dyDescent="0.2">
      <c r="A45" s="214"/>
      <c r="B45"/>
      <c r="C45" s="215">
        <f>SUM(C28:C44)</f>
        <v>253</v>
      </c>
      <c r="D45" s="216">
        <f>SUM(D28:D44)</f>
        <v>0.99999999999999989</v>
      </c>
    </row>
    <row r="51" spans="1:4" ht="15" x14ac:dyDescent="0.2">
      <c r="A51" s="200"/>
      <c r="B51" s="201" t="s">
        <v>89</v>
      </c>
      <c r="C51" s="200"/>
      <c r="D51" s="200"/>
    </row>
    <row r="52" spans="1:4" x14ac:dyDescent="0.2">
      <c r="A52" s="202"/>
      <c r="B52" s="203"/>
      <c r="C52" s="203"/>
      <c r="D52" s="204"/>
    </row>
    <row r="53" spans="1:4" x14ac:dyDescent="0.2">
      <c r="A53" s="173" t="s">
        <v>807</v>
      </c>
      <c r="B53" s="174" t="s">
        <v>90</v>
      </c>
      <c r="C53" s="175">
        <v>29</v>
      </c>
      <c r="D53" s="208">
        <f>C53/154</f>
        <v>0.18831168831168832</v>
      </c>
    </row>
    <row r="54" spans="1:4" x14ac:dyDescent="0.2">
      <c r="A54" s="173" t="s">
        <v>804</v>
      </c>
      <c r="B54" s="174" t="s">
        <v>92</v>
      </c>
      <c r="C54" s="175">
        <v>29</v>
      </c>
      <c r="D54" s="208">
        <f t="shared" ref="D54:D57" si="1">C54/154</f>
        <v>0.18831168831168832</v>
      </c>
    </row>
    <row r="55" spans="1:4" x14ac:dyDescent="0.2">
      <c r="A55" s="173" t="s">
        <v>360</v>
      </c>
      <c r="B55" s="174" t="s">
        <v>95</v>
      </c>
      <c r="C55" s="175">
        <v>18</v>
      </c>
      <c r="D55" s="208">
        <f t="shared" si="1"/>
        <v>0.11688311688311688</v>
      </c>
    </row>
    <row r="56" spans="1:4" x14ac:dyDescent="0.2">
      <c r="A56" s="173" t="s">
        <v>814</v>
      </c>
      <c r="B56" s="174" t="s">
        <v>94</v>
      </c>
      <c r="C56" s="175">
        <v>18</v>
      </c>
      <c r="D56" s="208">
        <f t="shared" si="1"/>
        <v>0.11688311688311688</v>
      </c>
    </row>
    <row r="57" spans="1:4" x14ac:dyDescent="0.2">
      <c r="A57" s="173" t="s">
        <v>813</v>
      </c>
      <c r="B57" s="174" t="s">
        <v>97</v>
      </c>
      <c r="C57" s="175">
        <v>19</v>
      </c>
      <c r="D57" s="208">
        <f t="shared" si="1"/>
        <v>0.12337662337662338</v>
      </c>
    </row>
    <row r="58" spans="1:4" x14ac:dyDescent="0.2">
      <c r="A58" s="176" t="s">
        <v>351</v>
      </c>
      <c r="B58" s="177" t="s">
        <v>91</v>
      </c>
      <c r="C58" s="178">
        <v>14</v>
      </c>
      <c r="D58" s="212">
        <f>C58/154</f>
        <v>9.0909090909090912E-2</v>
      </c>
    </row>
    <row r="59" spans="1:4" x14ac:dyDescent="0.2">
      <c r="A59" s="176" t="s">
        <v>808</v>
      </c>
      <c r="B59" s="177" t="s">
        <v>93</v>
      </c>
      <c r="C59" s="178">
        <v>12</v>
      </c>
      <c r="D59" s="212">
        <f t="shared" ref="D59:D61" si="2">C59/154</f>
        <v>7.792207792207792E-2</v>
      </c>
    </row>
    <row r="60" spans="1:4" x14ac:dyDescent="0.2">
      <c r="A60" s="176" t="s">
        <v>815</v>
      </c>
      <c r="B60" s="177" t="s">
        <v>96</v>
      </c>
      <c r="C60" s="178">
        <v>12</v>
      </c>
      <c r="D60" s="212">
        <f t="shared" si="2"/>
        <v>7.792207792207792E-2</v>
      </c>
    </row>
    <row r="61" spans="1:4" x14ac:dyDescent="0.2">
      <c r="A61" s="179" t="s">
        <v>812</v>
      </c>
      <c r="B61" s="180" t="s">
        <v>77</v>
      </c>
      <c r="C61" s="181">
        <v>3</v>
      </c>
      <c r="D61" s="217">
        <f t="shared" si="2"/>
        <v>1.948051948051948E-2</v>
      </c>
    </row>
    <row r="62" spans="1:4" x14ac:dyDescent="0.2">
      <c r="A62"/>
      <c r="B62"/>
      <c r="C62" s="182">
        <f>SUM(C53:C61)</f>
        <v>154</v>
      </c>
      <c r="D62" s="183">
        <f>SUM(D53:D61)</f>
        <v>1</v>
      </c>
    </row>
    <row r="68" spans="1:4" ht="15" x14ac:dyDescent="0.2">
      <c r="A68" s="200"/>
      <c r="B68" s="201" t="s">
        <v>98</v>
      </c>
      <c r="C68" s="200"/>
      <c r="D68" s="200"/>
    </row>
    <row r="69" spans="1:4" x14ac:dyDescent="0.2">
      <c r="A69" s="202"/>
      <c r="B69" s="203"/>
      <c r="C69" s="203"/>
      <c r="D69" s="204"/>
    </row>
    <row r="70" spans="1:4" x14ac:dyDescent="0.2">
      <c r="A70" s="205" t="s">
        <v>351</v>
      </c>
      <c r="B70" s="206" t="s">
        <v>91</v>
      </c>
      <c r="C70" s="207">
        <v>39</v>
      </c>
      <c r="D70" s="208">
        <f>C70/214</f>
        <v>0.1822429906542056</v>
      </c>
    </row>
    <row r="71" spans="1:4" x14ac:dyDescent="0.2">
      <c r="A71" s="205" t="s">
        <v>815</v>
      </c>
      <c r="B71" s="206" t="s">
        <v>101</v>
      </c>
      <c r="C71" s="207">
        <v>31</v>
      </c>
      <c r="D71" s="208">
        <f t="shared" ref="D71:D78" si="3">C71/214</f>
        <v>0.14485981308411214</v>
      </c>
    </row>
    <row r="72" spans="1:4" x14ac:dyDescent="0.2">
      <c r="A72" s="205" t="s">
        <v>814</v>
      </c>
      <c r="B72" s="206" t="s">
        <v>93</v>
      </c>
      <c r="C72" s="207">
        <v>22</v>
      </c>
      <c r="D72" s="208">
        <f t="shared" si="3"/>
        <v>0.10280373831775701</v>
      </c>
    </row>
    <row r="73" spans="1:4" x14ac:dyDescent="0.2">
      <c r="A73" s="205" t="s">
        <v>360</v>
      </c>
      <c r="B73" s="206" t="s">
        <v>77</v>
      </c>
      <c r="C73" s="207">
        <v>22</v>
      </c>
      <c r="D73" s="208">
        <f t="shared" si="3"/>
        <v>0.10280373831775701</v>
      </c>
    </row>
    <row r="74" spans="1:4" x14ac:dyDescent="0.2">
      <c r="A74" s="205" t="s">
        <v>808</v>
      </c>
      <c r="B74" s="206" t="s">
        <v>92</v>
      </c>
      <c r="C74" s="207">
        <v>20</v>
      </c>
      <c r="D74" s="208">
        <f t="shared" si="3"/>
        <v>9.3457943925233641E-2</v>
      </c>
    </row>
    <row r="75" spans="1:4" x14ac:dyDescent="0.2">
      <c r="A75" s="205" t="s">
        <v>396</v>
      </c>
      <c r="B75" s="206" t="s">
        <v>103</v>
      </c>
      <c r="C75" s="207">
        <v>19</v>
      </c>
      <c r="D75" s="208">
        <f t="shared" si="3"/>
        <v>8.8785046728971959E-2</v>
      </c>
    </row>
    <row r="76" spans="1:4" x14ac:dyDescent="0.2">
      <c r="A76" s="205" t="s">
        <v>816</v>
      </c>
      <c r="B76" s="206" t="s">
        <v>97</v>
      </c>
      <c r="C76" s="207">
        <v>15</v>
      </c>
      <c r="D76" s="208">
        <f t="shared" si="3"/>
        <v>7.0093457943925228E-2</v>
      </c>
    </row>
    <row r="77" spans="1:4" x14ac:dyDescent="0.2">
      <c r="A77" s="205" t="s">
        <v>810</v>
      </c>
      <c r="B77" s="310" t="s">
        <v>96</v>
      </c>
      <c r="C77" s="207">
        <v>14</v>
      </c>
      <c r="D77" s="208">
        <f t="shared" si="3"/>
        <v>6.5420560747663545E-2</v>
      </c>
    </row>
    <row r="78" spans="1:4" x14ac:dyDescent="0.2">
      <c r="A78" s="209" t="s">
        <v>807</v>
      </c>
      <c r="B78" s="210" t="s">
        <v>99</v>
      </c>
      <c r="C78" s="211">
        <v>12</v>
      </c>
      <c r="D78" s="212">
        <f t="shared" si="3"/>
        <v>5.6074766355140186E-2</v>
      </c>
    </row>
    <row r="79" spans="1:4" x14ac:dyDescent="0.2">
      <c r="A79" s="209" t="s">
        <v>813</v>
      </c>
      <c r="B79" s="210" t="s">
        <v>95</v>
      </c>
      <c r="C79" s="211">
        <v>8</v>
      </c>
      <c r="D79" s="212">
        <f>C79/214</f>
        <v>3.7383177570093455E-2</v>
      </c>
    </row>
    <row r="80" spans="1:4" x14ac:dyDescent="0.2">
      <c r="A80" s="209" t="s">
        <v>804</v>
      </c>
      <c r="B80" s="210" t="s">
        <v>100</v>
      </c>
      <c r="C80" s="211">
        <v>7</v>
      </c>
      <c r="D80" s="212">
        <f t="shared" ref="D80:D81" si="4">C80/214</f>
        <v>3.2710280373831772E-2</v>
      </c>
    </row>
    <row r="81" spans="1:4" x14ac:dyDescent="0.2">
      <c r="A81" s="209" t="s">
        <v>812</v>
      </c>
      <c r="B81" s="210" t="s">
        <v>78</v>
      </c>
      <c r="C81" s="211">
        <v>5</v>
      </c>
      <c r="D81" s="212">
        <f t="shared" si="4"/>
        <v>2.336448598130841E-2</v>
      </c>
    </row>
    <row r="82" spans="1:4" x14ac:dyDescent="0.2">
      <c r="A82" s="220"/>
      <c r="B82" s="221"/>
      <c r="C82" s="221"/>
      <c r="D82" s="222"/>
    </row>
    <row r="83" spans="1:4" x14ac:dyDescent="0.2">
      <c r="C83" s="218">
        <f>SUM(C70:C82)</f>
        <v>214</v>
      </c>
      <c r="D83" s="219">
        <f>SUM(D70:D82)</f>
        <v>0.99999999999999978</v>
      </c>
    </row>
    <row r="84" spans="1:4" x14ac:dyDescent="0.2">
      <c r="B84" s="213" t="s">
        <v>818</v>
      </c>
    </row>
  </sheetData>
  <autoFilter ref="A69:D82" xr:uid="{1C36891F-9378-4B1D-B8C8-5EF45AF5D88F}">
    <sortState xmlns:xlrd2="http://schemas.microsoft.com/office/spreadsheetml/2017/richdata2" ref="A70:D82">
      <sortCondition descending="1" ref="C71:C82"/>
    </sortState>
  </autoFilter>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9B78-A393-41B7-B2F0-1CB18C749729}">
  <dimension ref="A1:D7"/>
  <sheetViews>
    <sheetView showGridLines="0" topLeftCell="A4" workbookViewId="0">
      <selection activeCell="B12" sqref="B12"/>
    </sheetView>
  </sheetViews>
  <sheetFormatPr baseColWidth="10" defaultRowHeight="14.25" x14ac:dyDescent="0.2"/>
  <cols>
    <col min="1" max="1" width="43.75" customWidth="1"/>
    <col min="2" max="4" width="24.125" customWidth="1"/>
  </cols>
  <sheetData>
    <row r="1" spans="1:4" ht="54" customHeight="1" x14ac:dyDescent="0.2">
      <c r="A1" s="284" t="s">
        <v>787</v>
      </c>
      <c r="B1" s="285" t="s">
        <v>307</v>
      </c>
      <c r="C1" s="285" t="s">
        <v>308</v>
      </c>
      <c r="D1" s="285" t="s">
        <v>309</v>
      </c>
    </row>
    <row r="2" spans="1:4" ht="20.25" x14ac:dyDescent="0.25">
      <c r="A2" s="287" t="s">
        <v>788</v>
      </c>
      <c r="B2" s="288">
        <v>42</v>
      </c>
      <c r="C2" s="289">
        <v>57.69</v>
      </c>
      <c r="D2" s="286">
        <v>73.400000000000006</v>
      </c>
    </row>
    <row r="3" spans="1:4" ht="20.25" x14ac:dyDescent="0.25">
      <c r="A3" s="287" t="s">
        <v>790</v>
      </c>
      <c r="B3" s="288">
        <v>48</v>
      </c>
      <c r="C3" s="286">
        <v>64.11</v>
      </c>
      <c r="D3" s="286">
        <v>79.180000000000007</v>
      </c>
    </row>
    <row r="4" spans="1:4" ht="20.25" x14ac:dyDescent="0.25">
      <c r="A4" s="287" t="s">
        <v>791</v>
      </c>
      <c r="B4" s="288">
        <v>10</v>
      </c>
      <c r="C4" s="290">
        <v>66.47</v>
      </c>
      <c r="D4" s="286">
        <v>83.6</v>
      </c>
    </row>
    <row r="5" spans="1:4" ht="20.25" x14ac:dyDescent="0.25">
      <c r="A5" s="287" t="s">
        <v>792</v>
      </c>
      <c r="B5" s="288">
        <v>25</v>
      </c>
      <c r="C5" s="290">
        <v>59.41</v>
      </c>
      <c r="D5" s="286">
        <v>74.260000000000005</v>
      </c>
    </row>
    <row r="6" spans="1:4" ht="20.25" x14ac:dyDescent="0.25">
      <c r="A6" s="287" t="s">
        <v>819</v>
      </c>
      <c r="B6" s="288">
        <v>5</v>
      </c>
      <c r="C6" s="286">
        <v>72.81</v>
      </c>
      <c r="D6" s="286">
        <v>91.6</v>
      </c>
    </row>
    <row r="7" spans="1:4" ht="20.25" x14ac:dyDescent="0.2">
      <c r="A7" s="284" t="s">
        <v>271</v>
      </c>
      <c r="B7" s="284">
        <f>SUM(B2:B6)</f>
        <v>130</v>
      </c>
    </row>
  </sheetData>
  <conditionalFormatting sqref="C2:D6">
    <cfRule type="cellIs" dxfId="2" priority="1" operator="greaterThan">
      <formula>80</formula>
    </cfRule>
    <cfRule type="cellIs" dxfId="1" priority="2" operator="between">
      <formula>51</formula>
      <formula>80</formula>
    </cfRule>
    <cfRule type="cellIs" dxfId="0" priority="3" operator="lessThan">
      <formula>51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5058-5E8E-427E-81CB-BD50BC80280B}">
  <dimension ref="B2:U97"/>
  <sheetViews>
    <sheetView showGridLines="0" tabSelected="1" topLeftCell="C62" workbookViewId="0">
      <selection activeCell="K91" sqref="K91"/>
    </sheetView>
  </sheetViews>
  <sheetFormatPr baseColWidth="10" defaultRowHeight="14.25" x14ac:dyDescent="0.2"/>
  <cols>
    <col min="1" max="1" width="2.375" style="295" customWidth="1"/>
    <col min="2" max="2" width="29.875" style="295" customWidth="1"/>
    <col min="3" max="3" width="4.375" style="295" customWidth="1"/>
    <col min="4" max="4" width="7.5" style="295" customWidth="1"/>
    <col min="5" max="6" width="4.875" style="295" customWidth="1"/>
    <col min="7" max="7" width="14.625" style="295" customWidth="1"/>
    <col min="8" max="8" width="23.5" style="295" customWidth="1"/>
    <col min="9" max="16384" width="11" style="295"/>
  </cols>
  <sheetData>
    <row r="2" spans="2:7" x14ac:dyDescent="0.2">
      <c r="B2" s="291" t="s">
        <v>820</v>
      </c>
      <c r="C2" s="292">
        <v>38</v>
      </c>
      <c r="D2" s="293">
        <f>C2/180</f>
        <v>0.21111111111111111</v>
      </c>
      <c r="E2" s="294">
        <f>D2</f>
        <v>0.21111111111111111</v>
      </c>
    </row>
    <row r="3" spans="2:7" x14ac:dyDescent="0.2">
      <c r="B3" s="296" t="s">
        <v>198</v>
      </c>
      <c r="C3" s="295">
        <v>40</v>
      </c>
      <c r="D3" s="297">
        <f t="shared" ref="D3:D6" si="0">C3/180</f>
        <v>0.22222222222222221</v>
      </c>
      <c r="E3" s="294">
        <f>D3+E2</f>
        <v>0.43333333333333335</v>
      </c>
    </row>
    <row r="4" spans="2:7" x14ac:dyDescent="0.2">
      <c r="B4" s="296" t="s">
        <v>821</v>
      </c>
      <c r="C4" s="295">
        <v>22</v>
      </c>
      <c r="D4" s="297">
        <f t="shared" si="0"/>
        <v>0.12222222222222222</v>
      </c>
      <c r="E4" s="294">
        <f t="shared" ref="E4:E6" si="1">D4+E3</f>
        <v>0.55555555555555558</v>
      </c>
      <c r="G4" s="298"/>
    </row>
    <row r="5" spans="2:7" x14ac:dyDescent="0.2">
      <c r="B5" s="296" t="s">
        <v>822</v>
      </c>
      <c r="C5" s="295">
        <v>10</v>
      </c>
      <c r="D5" s="297">
        <f t="shared" si="0"/>
        <v>5.5555555555555552E-2</v>
      </c>
      <c r="E5" s="294">
        <f t="shared" si="1"/>
        <v>0.61111111111111116</v>
      </c>
      <c r="G5" s="298"/>
    </row>
    <row r="6" spans="2:7" x14ac:dyDescent="0.2">
      <c r="B6" s="296" t="s">
        <v>823</v>
      </c>
      <c r="C6" s="295">
        <v>20</v>
      </c>
      <c r="D6" s="299">
        <f t="shared" si="0"/>
        <v>0.1111111111111111</v>
      </c>
      <c r="E6" s="294">
        <f t="shared" si="1"/>
        <v>0.72222222222222232</v>
      </c>
    </row>
    <row r="7" spans="2:7" ht="15" x14ac:dyDescent="0.25">
      <c r="B7" s="300" t="s">
        <v>271</v>
      </c>
      <c r="C7" s="301">
        <f>SUM(C2:C6)</f>
        <v>130</v>
      </c>
      <c r="D7" s="302">
        <f>SUM(D2:D6)</f>
        <v>0.72222222222222232</v>
      </c>
      <c r="E7" s="303"/>
    </row>
    <row r="15" spans="2:7" ht="23.25" x14ac:dyDescent="0.35">
      <c r="B15" s="304" t="s">
        <v>166</v>
      </c>
    </row>
    <row r="16" spans="2:7" x14ac:dyDescent="0.2">
      <c r="B16" s="291" t="s">
        <v>201</v>
      </c>
      <c r="C16" s="292">
        <v>70</v>
      </c>
      <c r="D16" s="293">
        <f>C16/$C$18</f>
        <v>0.53846153846153844</v>
      </c>
      <c r="E16" s="294"/>
      <c r="F16" s="305"/>
      <c r="G16" s="305"/>
    </row>
    <row r="17" spans="2:5" x14ac:dyDescent="0.2">
      <c r="B17" s="296" t="s">
        <v>179</v>
      </c>
      <c r="C17" s="295">
        <v>60</v>
      </c>
      <c r="D17" s="297">
        <f>C17/$C$18</f>
        <v>0.46153846153846156</v>
      </c>
      <c r="E17" s="294"/>
    </row>
    <row r="18" spans="2:5" ht="15" x14ac:dyDescent="0.25">
      <c r="B18" s="306" t="s">
        <v>271</v>
      </c>
      <c r="C18" s="307">
        <f>SUM(C16:C17)</f>
        <v>130</v>
      </c>
      <c r="D18" s="302">
        <f>SUM(D16:D17)</f>
        <v>1</v>
      </c>
      <c r="E18" s="303"/>
    </row>
    <row r="25" spans="2:5" ht="23.25" x14ac:dyDescent="0.35">
      <c r="B25" s="304" t="s">
        <v>167</v>
      </c>
    </row>
    <row r="26" spans="2:5" x14ac:dyDescent="0.2">
      <c r="B26" s="291" t="s">
        <v>223</v>
      </c>
      <c r="C26" s="292">
        <v>13</v>
      </c>
      <c r="D26" s="293">
        <f>C26/$C$30</f>
        <v>0.1</v>
      </c>
      <c r="E26" s="294"/>
    </row>
    <row r="27" spans="2:5" x14ac:dyDescent="0.2">
      <c r="B27" s="296" t="s">
        <v>187</v>
      </c>
      <c r="C27" s="295">
        <v>84</v>
      </c>
      <c r="D27" s="297">
        <f t="shared" ref="D27:D29" si="2">C27/$C$30</f>
        <v>0.64615384615384619</v>
      </c>
      <c r="E27" s="294"/>
    </row>
    <row r="28" spans="2:5" x14ac:dyDescent="0.2">
      <c r="B28" s="296" t="s">
        <v>824</v>
      </c>
      <c r="C28" s="295">
        <v>29</v>
      </c>
      <c r="D28" s="297">
        <f t="shared" si="2"/>
        <v>0.22307692307692309</v>
      </c>
      <c r="E28" s="294"/>
    </row>
    <row r="29" spans="2:5" x14ac:dyDescent="0.2">
      <c r="B29" s="296" t="s">
        <v>237</v>
      </c>
      <c r="C29" s="295">
        <v>4</v>
      </c>
      <c r="D29" s="297">
        <f t="shared" si="2"/>
        <v>3.0769230769230771E-2</v>
      </c>
      <c r="E29" s="294"/>
    </row>
    <row r="30" spans="2:5" ht="15" x14ac:dyDescent="0.25">
      <c r="B30" s="306" t="s">
        <v>271</v>
      </c>
      <c r="C30" s="307">
        <f>SUM(C26:C29)</f>
        <v>130</v>
      </c>
      <c r="D30" s="302">
        <f>SUM(D26:D29)</f>
        <v>1</v>
      </c>
      <c r="E30" s="303"/>
    </row>
    <row r="42" spans="2:21" ht="23.25" x14ac:dyDescent="0.35">
      <c r="B42" s="308" t="s">
        <v>825</v>
      </c>
      <c r="J42" s="311" t="s">
        <v>862</v>
      </c>
      <c r="K42" s="311"/>
      <c r="L42" s="311"/>
      <c r="M42" s="311"/>
    </row>
    <row r="43" spans="2:21" x14ac:dyDescent="0.2">
      <c r="B43" s="309" t="s">
        <v>826</v>
      </c>
      <c r="J43" s="312" t="s">
        <v>229</v>
      </c>
      <c r="K43" s="313"/>
      <c r="L43" s="313"/>
      <c r="M43" s="313"/>
      <c r="N43" s="313"/>
      <c r="O43" s="313"/>
      <c r="P43" s="313"/>
      <c r="Q43" s="313"/>
      <c r="R43" s="313"/>
      <c r="S43" s="313"/>
      <c r="T43" s="313"/>
      <c r="U43" s="313"/>
    </row>
    <row r="44" spans="2:21" x14ac:dyDescent="0.2">
      <c r="B44" s="309" t="s">
        <v>827</v>
      </c>
      <c r="J44" s="312" t="s">
        <v>254</v>
      </c>
      <c r="K44" s="313"/>
      <c r="L44" s="313"/>
      <c r="M44" s="313"/>
      <c r="N44" s="313"/>
      <c r="O44" s="313"/>
      <c r="P44" s="313"/>
      <c r="Q44" s="313"/>
      <c r="R44" s="313"/>
      <c r="S44" s="313"/>
      <c r="T44" s="313"/>
      <c r="U44" s="313"/>
    </row>
    <row r="45" spans="2:21" x14ac:dyDescent="0.2">
      <c r="B45" s="309" t="s">
        <v>828</v>
      </c>
      <c r="J45" s="314" t="s">
        <v>858</v>
      </c>
      <c r="K45" s="313"/>
      <c r="L45" s="313"/>
      <c r="M45" s="313"/>
      <c r="N45" s="313"/>
      <c r="O45" s="313"/>
      <c r="P45" s="313"/>
      <c r="Q45" s="313"/>
      <c r="R45" s="313"/>
      <c r="S45" s="313"/>
      <c r="T45" s="313"/>
      <c r="U45" s="313"/>
    </row>
    <row r="46" spans="2:21" x14ac:dyDescent="0.2">
      <c r="B46" s="309" t="s">
        <v>829</v>
      </c>
      <c r="J46" s="312" t="s">
        <v>462</v>
      </c>
      <c r="K46" s="313"/>
      <c r="L46" s="313"/>
      <c r="M46" s="313"/>
      <c r="N46" s="313"/>
      <c r="O46" s="313"/>
      <c r="P46" s="313"/>
      <c r="Q46" s="313"/>
      <c r="R46" s="313"/>
      <c r="S46" s="313"/>
      <c r="T46" s="313"/>
      <c r="U46" s="313"/>
    </row>
    <row r="47" spans="2:21" x14ac:dyDescent="0.2">
      <c r="B47" s="309" t="s">
        <v>830</v>
      </c>
      <c r="J47" s="314" t="s">
        <v>465</v>
      </c>
      <c r="K47" s="313"/>
      <c r="L47" s="313"/>
      <c r="M47" s="313"/>
      <c r="N47" s="313"/>
      <c r="O47" s="313"/>
      <c r="P47" s="313"/>
      <c r="Q47" s="313"/>
      <c r="R47" s="313"/>
      <c r="S47" s="313"/>
      <c r="T47" s="313"/>
      <c r="U47" s="313"/>
    </row>
    <row r="48" spans="2:21" x14ac:dyDescent="0.2">
      <c r="B48" s="309" t="s">
        <v>831</v>
      </c>
      <c r="J48" s="312" t="s">
        <v>467</v>
      </c>
      <c r="K48" s="313"/>
      <c r="L48" s="313"/>
      <c r="M48" s="313"/>
      <c r="N48" s="313"/>
      <c r="O48" s="313"/>
      <c r="P48" s="313"/>
      <c r="Q48" s="313"/>
      <c r="R48" s="313"/>
      <c r="S48" s="313"/>
      <c r="T48" s="313"/>
      <c r="U48" s="313"/>
    </row>
    <row r="49" spans="2:21" x14ac:dyDescent="0.2">
      <c r="B49" s="309" t="s">
        <v>832</v>
      </c>
      <c r="J49" s="312" t="s">
        <v>73</v>
      </c>
      <c r="K49" s="313"/>
      <c r="L49" s="313"/>
      <c r="M49" s="313"/>
      <c r="N49" s="313"/>
      <c r="O49" s="313"/>
      <c r="P49" s="313"/>
      <c r="Q49" s="313"/>
      <c r="R49" s="313"/>
      <c r="S49" s="313"/>
      <c r="T49" s="313"/>
      <c r="U49" s="313"/>
    </row>
    <row r="50" spans="2:21" x14ac:dyDescent="0.2">
      <c r="B50" s="309" t="s">
        <v>833</v>
      </c>
      <c r="J50" s="314" t="s">
        <v>859</v>
      </c>
      <c r="K50" s="313"/>
      <c r="L50" s="313"/>
      <c r="M50" s="313"/>
      <c r="N50" s="313"/>
      <c r="O50" s="313"/>
      <c r="P50" s="313"/>
      <c r="Q50" s="313"/>
      <c r="R50" s="313"/>
      <c r="S50" s="313"/>
      <c r="T50" s="313"/>
      <c r="U50" s="313"/>
    </row>
    <row r="51" spans="2:21" x14ac:dyDescent="0.2">
      <c r="B51" s="309" t="s">
        <v>856</v>
      </c>
      <c r="J51" s="312" t="s">
        <v>481</v>
      </c>
      <c r="K51" s="313"/>
      <c r="L51" s="313"/>
      <c r="M51" s="313"/>
      <c r="N51" s="313"/>
      <c r="O51" s="313"/>
      <c r="P51" s="313"/>
      <c r="Q51" s="313"/>
      <c r="R51" s="313"/>
      <c r="S51" s="313"/>
      <c r="T51" s="313"/>
      <c r="U51" s="313"/>
    </row>
    <row r="52" spans="2:21" x14ac:dyDescent="0.2">
      <c r="B52" s="309" t="s">
        <v>857</v>
      </c>
      <c r="J52" s="312" t="s">
        <v>484</v>
      </c>
      <c r="K52" s="313"/>
      <c r="L52" s="313"/>
      <c r="M52" s="313"/>
      <c r="N52" s="313"/>
      <c r="O52" s="313"/>
      <c r="P52" s="313"/>
      <c r="Q52" s="313"/>
      <c r="R52" s="313"/>
      <c r="S52" s="313"/>
      <c r="T52" s="313"/>
      <c r="U52" s="313"/>
    </row>
    <row r="53" spans="2:21" x14ac:dyDescent="0.2">
      <c r="B53" s="309" t="s">
        <v>571</v>
      </c>
      <c r="J53" s="312" t="s">
        <v>860</v>
      </c>
      <c r="K53" s="313"/>
      <c r="L53" s="313"/>
      <c r="M53" s="313"/>
      <c r="N53" s="313"/>
      <c r="O53" s="313"/>
      <c r="P53" s="313"/>
      <c r="Q53" s="313"/>
      <c r="R53" s="313"/>
      <c r="S53" s="313"/>
      <c r="T53" s="313"/>
      <c r="U53" s="313"/>
    </row>
    <row r="54" spans="2:21" x14ac:dyDescent="0.2">
      <c r="B54" s="309" t="s">
        <v>834</v>
      </c>
      <c r="J54" s="314" t="s">
        <v>500</v>
      </c>
      <c r="K54" s="313"/>
      <c r="L54" s="313"/>
      <c r="M54" s="313"/>
      <c r="N54" s="313"/>
      <c r="O54" s="313"/>
      <c r="P54" s="313"/>
      <c r="Q54" s="313"/>
      <c r="R54" s="313"/>
      <c r="S54" s="313"/>
      <c r="T54" s="313"/>
      <c r="U54" s="313"/>
    </row>
    <row r="55" spans="2:21" x14ac:dyDescent="0.2">
      <c r="B55" s="309" t="s">
        <v>835</v>
      </c>
      <c r="J55" s="312" t="s">
        <v>506</v>
      </c>
      <c r="K55" s="313"/>
      <c r="L55" s="313"/>
      <c r="M55" s="313"/>
      <c r="N55" s="313"/>
      <c r="O55" s="313"/>
      <c r="P55" s="313"/>
      <c r="Q55" s="313"/>
      <c r="R55" s="313"/>
      <c r="S55" s="313"/>
      <c r="T55" s="313"/>
      <c r="U55" s="313"/>
    </row>
    <row r="56" spans="2:21" x14ac:dyDescent="0.2">
      <c r="B56" s="309" t="s">
        <v>836</v>
      </c>
      <c r="J56" s="312" t="s">
        <v>582</v>
      </c>
      <c r="K56" s="313"/>
      <c r="L56" s="313"/>
      <c r="M56" s="313"/>
      <c r="N56" s="313"/>
      <c r="O56" s="313"/>
      <c r="P56" s="313"/>
      <c r="Q56" s="313"/>
      <c r="R56" s="313"/>
      <c r="S56" s="313"/>
      <c r="T56" s="313"/>
      <c r="U56" s="313"/>
    </row>
    <row r="57" spans="2:21" x14ac:dyDescent="0.2">
      <c r="B57" s="309" t="s">
        <v>837</v>
      </c>
      <c r="J57" s="312" t="s">
        <v>861</v>
      </c>
      <c r="K57" s="313"/>
      <c r="L57" s="313"/>
      <c r="M57" s="313"/>
      <c r="N57" s="313"/>
      <c r="O57" s="313"/>
      <c r="P57" s="313"/>
      <c r="Q57" s="313"/>
      <c r="R57" s="313"/>
      <c r="S57" s="313"/>
      <c r="T57" s="313"/>
      <c r="U57" s="313"/>
    </row>
    <row r="58" spans="2:21" x14ac:dyDescent="0.2">
      <c r="B58" s="309" t="s">
        <v>698</v>
      </c>
      <c r="J58" s="312" t="s">
        <v>622</v>
      </c>
      <c r="K58" s="313"/>
      <c r="L58" s="313"/>
      <c r="M58" s="313"/>
      <c r="N58" s="313"/>
      <c r="O58" s="313"/>
      <c r="P58" s="313"/>
      <c r="Q58" s="313"/>
      <c r="R58" s="313"/>
      <c r="S58" s="313"/>
      <c r="T58" s="313"/>
      <c r="U58" s="313"/>
    </row>
    <row r="59" spans="2:21" x14ac:dyDescent="0.2">
      <c r="B59" s="309" t="s">
        <v>838</v>
      </c>
      <c r="J59" s="314" t="s">
        <v>625</v>
      </c>
      <c r="K59" s="313"/>
      <c r="L59" s="313"/>
      <c r="M59" s="313"/>
      <c r="N59" s="313"/>
      <c r="O59" s="313"/>
      <c r="P59" s="313"/>
      <c r="Q59" s="313"/>
      <c r="R59" s="313"/>
      <c r="S59" s="313"/>
      <c r="T59" s="313"/>
      <c r="U59" s="313"/>
    </row>
    <row r="60" spans="2:21" x14ac:dyDescent="0.2">
      <c r="B60" s="309" t="s">
        <v>839</v>
      </c>
      <c r="J60" s="312" t="s">
        <v>628</v>
      </c>
      <c r="K60" s="313"/>
      <c r="L60" s="313"/>
      <c r="M60" s="313"/>
      <c r="N60" s="313"/>
      <c r="O60" s="313"/>
      <c r="P60" s="313"/>
      <c r="Q60" s="313"/>
      <c r="R60" s="313"/>
      <c r="S60" s="313"/>
      <c r="T60" s="313"/>
      <c r="U60" s="313"/>
    </row>
    <row r="61" spans="2:21" x14ac:dyDescent="0.2">
      <c r="B61" s="309" t="s">
        <v>840</v>
      </c>
      <c r="J61" s="312" t="s">
        <v>651</v>
      </c>
      <c r="K61" s="313"/>
      <c r="L61" s="313"/>
      <c r="M61" s="313"/>
      <c r="N61" s="313"/>
      <c r="O61" s="313"/>
      <c r="P61" s="313"/>
      <c r="Q61" s="313"/>
      <c r="R61" s="313"/>
      <c r="S61" s="313"/>
      <c r="T61" s="313"/>
      <c r="U61" s="313"/>
    </row>
    <row r="62" spans="2:21" x14ac:dyDescent="0.2">
      <c r="B62" s="309" t="s">
        <v>841</v>
      </c>
      <c r="J62" s="312" t="s">
        <v>724</v>
      </c>
      <c r="K62" s="313"/>
      <c r="L62" s="313"/>
      <c r="M62" s="313"/>
      <c r="N62" s="313"/>
      <c r="O62" s="313"/>
      <c r="P62" s="313"/>
      <c r="Q62" s="313"/>
      <c r="R62" s="313"/>
      <c r="S62" s="313"/>
      <c r="T62" s="313"/>
      <c r="U62" s="313"/>
    </row>
    <row r="63" spans="2:21" x14ac:dyDescent="0.2">
      <c r="B63" s="309" t="s">
        <v>767</v>
      </c>
      <c r="J63" s="312" t="s">
        <v>727</v>
      </c>
      <c r="K63" s="313"/>
      <c r="L63" s="313"/>
      <c r="M63" s="313"/>
      <c r="N63" s="313"/>
      <c r="O63" s="313"/>
      <c r="P63" s="313"/>
      <c r="Q63" s="313"/>
      <c r="R63" s="313"/>
      <c r="S63" s="313"/>
      <c r="T63" s="313"/>
      <c r="U63" s="313"/>
    </row>
    <row r="64" spans="2:21" x14ac:dyDescent="0.2">
      <c r="B64" s="309" t="s">
        <v>842</v>
      </c>
      <c r="J64" s="312" t="s">
        <v>760</v>
      </c>
      <c r="K64" s="313"/>
      <c r="L64" s="313"/>
      <c r="M64" s="313"/>
      <c r="N64" s="313"/>
      <c r="O64" s="313"/>
      <c r="P64" s="313"/>
      <c r="Q64" s="313"/>
      <c r="R64" s="313"/>
      <c r="S64" s="313"/>
      <c r="T64" s="313"/>
      <c r="U64" s="313"/>
    </row>
    <row r="65" spans="2:21" ht="27.75" customHeight="1" x14ac:dyDescent="0.2">
      <c r="B65" s="309" t="s">
        <v>843</v>
      </c>
      <c r="J65" s="315" t="s">
        <v>743</v>
      </c>
      <c r="K65" s="315"/>
      <c r="L65" s="315"/>
      <c r="M65" s="315"/>
      <c r="N65" s="315"/>
      <c r="O65" s="315"/>
      <c r="P65" s="315"/>
      <c r="Q65" s="315"/>
      <c r="R65" s="315"/>
      <c r="S65" s="315"/>
      <c r="T65" s="315"/>
      <c r="U65" s="315"/>
    </row>
    <row r="66" spans="2:21" x14ac:dyDescent="0.2">
      <c r="B66" s="309" t="s">
        <v>844</v>
      </c>
      <c r="J66" s="312" t="s">
        <v>772</v>
      </c>
      <c r="K66" s="313"/>
      <c r="L66" s="313"/>
      <c r="M66" s="313"/>
      <c r="N66" s="313"/>
      <c r="O66" s="313"/>
      <c r="P66" s="313"/>
      <c r="Q66" s="313"/>
      <c r="R66" s="313"/>
      <c r="S66" s="313"/>
      <c r="T66" s="313"/>
      <c r="U66" s="313"/>
    </row>
    <row r="67" spans="2:21" x14ac:dyDescent="0.2">
      <c r="B67" s="309" t="s">
        <v>845</v>
      </c>
      <c r="J67" s="312" t="s">
        <v>779</v>
      </c>
      <c r="K67" s="313"/>
      <c r="L67" s="313"/>
      <c r="M67" s="313"/>
      <c r="N67" s="313"/>
      <c r="O67" s="313"/>
      <c r="P67" s="313"/>
      <c r="Q67" s="313"/>
      <c r="R67" s="313"/>
      <c r="S67" s="313"/>
      <c r="T67" s="313"/>
      <c r="U67" s="313"/>
    </row>
    <row r="68" spans="2:21" x14ac:dyDescent="0.2">
      <c r="B68" s="309" t="s">
        <v>846</v>
      </c>
      <c r="J68" s="314" t="s">
        <v>733</v>
      </c>
      <c r="K68" s="313"/>
      <c r="L68" s="313"/>
      <c r="M68" s="313"/>
      <c r="N68" s="313"/>
      <c r="O68" s="313"/>
      <c r="P68" s="313"/>
      <c r="Q68" s="313"/>
      <c r="R68" s="313"/>
      <c r="S68" s="313"/>
      <c r="T68" s="313"/>
      <c r="U68" s="313"/>
    </row>
    <row r="69" spans="2:21" x14ac:dyDescent="0.2">
      <c r="B69" s="309" t="s">
        <v>847</v>
      </c>
    </row>
    <row r="70" spans="2:21" x14ac:dyDescent="0.2">
      <c r="B70" s="309" t="s">
        <v>848</v>
      </c>
    </row>
    <row r="71" spans="2:21" ht="23.25" x14ac:dyDescent="0.35">
      <c r="B71" s="309" t="s">
        <v>849</v>
      </c>
      <c r="J71" s="316" t="s">
        <v>863</v>
      </c>
      <c r="K71" s="316"/>
      <c r="L71" s="316"/>
      <c r="M71" s="316"/>
    </row>
    <row r="72" spans="2:21" x14ac:dyDescent="0.2">
      <c r="B72" s="309" t="s">
        <v>850</v>
      </c>
      <c r="J72" s="312" t="s">
        <v>229</v>
      </c>
      <c r="K72" s="313"/>
      <c r="L72" s="313"/>
      <c r="M72" s="313"/>
      <c r="N72" s="313"/>
      <c r="O72" s="313"/>
      <c r="P72" s="313"/>
      <c r="Q72" s="313"/>
      <c r="R72" s="313"/>
      <c r="S72" s="313"/>
      <c r="T72" s="313"/>
      <c r="U72" s="313"/>
    </row>
    <row r="73" spans="2:21" x14ac:dyDescent="0.2">
      <c r="B73" s="309" t="s">
        <v>851</v>
      </c>
      <c r="J73" s="312" t="s">
        <v>561</v>
      </c>
      <c r="K73" s="313"/>
      <c r="L73" s="313"/>
      <c r="M73" s="313"/>
      <c r="N73" s="313"/>
      <c r="O73" s="313"/>
      <c r="P73" s="313"/>
      <c r="Q73" s="313"/>
      <c r="R73" s="313"/>
      <c r="S73" s="313"/>
      <c r="T73" s="313"/>
      <c r="U73" s="313"/>
    </row>
    <row r="74" spans="2:21" x14ac:dyDescent="0.2">
      <c r="B74" s="309" t="s">
        <v>852</v>
      </c>
      <c r="J74" s="312" t="s">
        <v>864</v>
      </c>
      <c r="K74" s="313"/>
      <c r="L74" s="313"/>
      <c r="M74" s="313"/>
      <c r="N74" s="313"/>
      <c r="O74" s="313"/>
      <c r="P74" s="313"/>
      <c r="Q74" s="313"/>
      <c r="R74" s="313"/>
      <c r="S74" s="313"/>
      <c r="T74" s="313"/>
      <c r="U74" s="313"/>
    </row>
    <row r="75" spans="2:21" x14ac:dyDescent="0.2">
      <c r="B75" s="309" t="s">
        <v>853</v>
      </c>
      <c r="J75" s="312" t="s">
        <v>865</v>
      </c>
      <c r="K75" s="313"/>
      <c r="L75" s="313"/>
      <c r="M75" s="313"/>
      <c r="N75" s="313"/>
      <c r="O75" s="313"/>
      <c r="P75" s="313"/>
      <c r="Q75" s="313"/>
      <c r="R75" s="313"/>
      <c r="S75" s="313"/>
      <c r="T75" s="313"/>
      <c r="U75" s="313"/>
    </row>
    <row r="76" spans="2:21" x14ac:dyDescent="0.2">
      <c r="B76" s="309"/>
      <c r="J76" s="312" t="s">
        <v>866</v>
      </c>
      <c r="K76" s="313"/>
      <c r="L76" s="313"/>
      <c r="M76" s="313"/>
      <c r="N76" s="313"/>
      <c r="O76" s="313"/>
      <c r="P76" s="313"/>
      <c r="Q76" s="313"/>
      <c r="R76" s="313"/>
      <c r="S76" s="313"/>
      <c r="T76" s="313"/>
      <c r="U76" s="313"/>
    </row>
    <row r="77" spans="2:21" x14ac:dyDescent="0.2">
      <c r="B77" s="309"/>
      <c r="J77" s="312" t="s">
        <v>867</v>
      </c>
      <c r="K77" s="313"/>
      <c r="L77" s="313"/>
      <c r="M77" s="313"/>
      <c r="N77" s="313"/>
      <c r="O77" s="313"/>
      <c r="P77" s="313"/>
      <c r="Q77" s="313"/>
      <c r="R77" s="313"/>
      <c r="S77" s="313"/>
      <c r="T77" s="313"/>
      <c r="U77" s="313"/>
    </row>
    <row r="78" spans="2:21" x14ac:dyDescent="0.2">
      <c r="B78" s="309"/>
      <c r="J78" s="312" t="s">
        <v>868</v>
      </c>
      <c r="K78" s="313"/>
      <c r="L78" s="313"/>
      <c r="M78" s="313"/>
      <c r="N78" s="313"/>
      <c r="O78" s="313"/>
      <c r="P78" s="313"/>
      <c r="Q78" s="313"/>
      <c r="R78" s="313"/>
      <c r="S78" s="313"/>
      <c r="T78" s="313"/>
      <c r="U78" s="313"/>
    </row>
    <row r="79" spans="2:21" x14ac:dyDescent="0.2">
      <c r="B79" s="309" t="s">
        <v>854</v>
      </c>
      <c r="J79" s="314" t="s">
        <v>869</v>
      </c>
      <c r="K79" s="313"/>
      <c r="L79" s="313"/>
      <c r="M79" s="313"/>
      <c r="N79" s="313"/>
      <c r="O79" s="313"/>
      <c r="P79" s="313"/>
      <c r="Q79" s="313"/>
      <c r="R79" s="313"/>
      <c r="S79" s="313"/>
      <c r="T79" s="313"/>
      <c r="U79" s="313"/>
    </row>
    <row r="80" spans="2:21" x14ac:dyDescent="0.2">
      <c r="B80" s="309" t="s">
        <v>855</v>
      </c>
      <c r="J80" s="312" t="s">
        <v>870</v>
      </c>
      <c r="K80" s="313"/>
      <c r="L80" s="313"/>
      <c r="M80" s="313"/>
      <c r="N80" s="313"/>
      <c r="O80" s="313"/>
      <c r="P80" s="313"/>
      <c r="Q80" s="313"/>
      <c r="R80" s="313"/>
      <c r="S80" s="313"/>
      <c r="T80" s="313"/>
      <c r="U80" s="313"/>
    </row>
    <row r="81" spans="10:21" x14ac:dyDescent="0.2">
      <c r="J81" s="312" t="s">
        <v>871</v>
      </c>
      <c r="K81" s="313"/>
      <c r="L81" s="313"/>
      <c r="M81" s="313"/>
      <c r="N81" s="313"/>
      <c r="O81" s="313"/>
      <c r="P81" s="313"/>
      <c r="Q81" s="313"/>
      <c r="R81" s="313"/>
      <c r="S81" s="313"/>
      <c r="T81" s="313"/>
      <c r="U81" s="313"/>
    </row>
    <row r="82" spans="10:21" x14ac:dyDescent="0.2">
      <c r="J82" s="312"/>
      <c r="K82" s="313"/>
      <c r="L82" s="313"/>
      <c r="M82" s="313"/>
      <c r="N82" s="313"/>
      <c r="O82" s="313"/>
      <c r="P82" s="313"/>
      <c r="Q82" s="313"/>
      <c r="R82" s="313"/>
      <c r="S82" s="313"/>
      <c r="T82" s="313"/>
      <c r="U82" s="313"/>
    </row>
    <row r="83" spans="10:21" x14ac:dyDescent="0.2">
      <c r="J83" s="314"/>
      <c r="K83" s="313"/>
      <c r="L83" s="313"/>
      <c r="M83" s="313"/>
      <c r="N83" s="313"/>
      <c r="O83" s="313"/>
      <c r="P83" s="313"/>
      <c r="Q83" s="313"/>
      <c r="R83" s="313"/>
      <c r="S83" s="313"/>
      <c r="T83" s="313"/>
      <c r="U83" s="313"/>
    </row>
    <row r="84" spans="10:21" x14ac:dyDescent="0.2">
      <c r="J84" s="312"/>
      <c r="K84" s="313"/>
      <c r="L84" s="313"/>
      <c r="M84" s="313"/>
      <c r="N84" s="313"/>
      <c r="O84" s="313"/>
      <c r="P84" s="313"/>
      <c r="Q84" s="313"/>
      <c r="R84" s="313"/>
      <c r="S84" s="313"/>
      <c r="T84" s="313"/>
      <c r="U84" s="313"/>
    </row>
    <row r="85" spans="10:21" x14ac:dyDescent="0.2">
      <c r="J85" s="312"/>
      <c r="K85" s="313"/>
      <c r="L85" s="313"/>
      <c r="M85" s="313"/>
      <c r="N85" s="313"/>
      <c r="O85" s="313"/>
      <c r="P85" s="313"/>
      <c r="Q85" s="313"/>
      <c r="R85" s="313"/>
      <c r="S85" s="313"/>
      <c r="T85" s="313"/>
      <c r="U85" s="313"/>
    </row>
    <row r="86" spans="10:21" x14ac:dyDescent="0.2">
      <c r="J86" s="312"/>
      <c r="K86" s="313"/>
      <c r="L86" s="313"/>
      <c r="M86" s="313"/>
      <c r="N86" s="313"/>
      <c r="O86" s="313"/>
      <c r="P86" s="313"/>
      <c r="Q86" s="313"/>
      <c r="R86" s="313"/>
      <c r="S86" s="313"/>
      <c r="T86" s="313"/>
      <c r="U86" s="313"/>
    </row>
    <row r="87" spans="10:21" x14ac:dyDescent="0.2">
      <c r="J87" s="312"/>
      <c r="K87" s="313"/>
      <c r="L87" s="313"/>
      <c r="M87" s="313"/>
      <c r="N87" s="313"/>
      <c r="O87" s="313"/>
      <c r="P87" s="313"/>
      <c r="Q87" s="313"/>
      <c r="R87" s="313"/>
      <c r="S87" s="313"/>
      <c r="T87" s="313"/>
      <c r="U87" s="313"/>
    </row>
    <row r="88" spans="10:21" x14ac:dyDescent="0.2">
      <c r="J88" s="314"/>
      <c r="K88" s="313"/>
      <c r="L88" s="313"/>
      <c r="M88" s="313"/>
      <c r="N88" s="313"/>
      <c r="O88" s="313"/>
      <c r="P88" s="313"/>
      <c r="Q88" s="313"/>
      <c r="R88" s="313"/>
      <c r="S88" s="313"/>
      <c r="T88" s="313"/>
      <c r="U88" s="313"/>
    </row>
    <row r="89" spans="10:21" x14ac:dyDescent="0.2">
      <c r="J89" s="312"/>
      <c r="K89" s="313"/>
      <c r="L89" s="313"/>
      <c r="M89" s="313"/>
      <c r="N89" s="313"/>
      <c r="O89" s="313"/>
      <c r="P89" s="313"/>
      <c r="Q89" s="313"/>
      <c r="R89" s="313"/>
      <c r="S89" s="313"/>
      <c r="T89" s="313"/>
      <c r="U89" s="313"/>
    </row>
    <row r="90" spans="10:21" x14ac:dyDescent="0.2">
      <c r="J90" s="312"/>
      <c r="K90" s="313"/>
      <c r="L90" s="313"/>
      <c r="M90" s="313"/>
      <c r="N90" s="313"/>
      <c r="O90" s="313"/>
      <c r="P90" s="313"/>
      <c r="Q90" s="313"/>
      <c r="R90" s="313"/>
      <c r="S90" s="313"/>
      <c r="T90" s="313"/>
      <c r="U90" s="313"/>
    </row>
    <row r="91" spans="10:21" x14ac:dyDescent="0.2">
      <c r="J91" s="312"/>
      <c r="K91" s="313"/>
      <c r="L91" s="313"/>
      <c r="M91" s="313"/>
      <c r="N91" s="313"/>
      <c r="O91" s="313"/>
      <c r="P91" s="313"/>
      <c r="Q91" s="313"/>
      <c r="R91" s="313"/>
      <c r="S91" s="313"/>
      <c r="T91" s="313"/>
      <c r="U91" s="313"/>
    </row>
    <row r="92" spans="10:21" x14ac:dyDescent="0.2">
      <c r="J92" s="312"/>
      <c r="K92" s="313"/>
      <c r="L92" s="313"/>
      <c r="M92" s="313"/>
      <c r="N92" s="313"/>
      <c r="O92" s="313"/>
      <c r="P92" s="313"/>
      <c r="Q92" s="313"/>
      <c r="R92" s="313"/>
      <c r="S92" s="313"/>
      <c r="T92" s="313"/>
      <c r="U92" s="313"/>
    </row>
    <row r="93" spans="10:21" x14ac:dyDescent="0.2">
      <c r="J93" s="312"/>
      <c r="K93" s="313"/>
      <c r="L93" s="313"/>
      <c r="M93" s="313"/>
      <c r="N93" s="313"/>
      <c r="O93" s="313"/>
      <c r="P93" s="313"/>
      <c r="Q93" s="313"/>
      <c r="R93" s="313"/>
      <c r="S93" s="313"/>
      <c r="T93" s="313"/>
      <c r="U93" s="313"/>
    </row>
    <row r="94" spans="10:21" x14ac:dyDescent="0.2">
      <c r="J94" s="315"/>
      <c r="K94" s="315"/>
      <c r="L94" s="315"/>
      <c r="M94" s="315"/>
      <c r="N94" s="315"/>
      <c r="O94" s="315"/>
      <c r="P94" s="315"/>
      <c r="Q94" s="315"/>
      <c r="R94" s="315"/>
      <c r="S94" s="315"/>
      <c r="T94" s="315"/>
      <c r="U94" s="315"/>
    </row>
    <row r="95" spans="10:21" x14ac:dyDescent="0.2">
      <c r="J95" s="312"/>
      <c r="K95" s="313"/>
      <c r="L95" s="313"/>
      <c r="M95" s="313"/>
      <c r="N95" s="313"/>
      <c r="O95" s="313"/>
      <c r="P95" s="313"/>
      <c r="Q95" s="313"/>
      <c r="R95" s="313"/>
      <c r="S95" s="313"/>
      <c r="T95" s="313"/>
      <c r="U95" s="313"/>
    </row>
    <row r="96" spans="10:21" x14ac:dyDescent="0.2">
      <c r="J96" s="312"/>
      <c r="K96" s="313"/>
      <c r="L96" s="313"/>
      <c r="M96" s="313"/>
      <c r="N96" s="313"/>
      <c r="O96" s="313"/>
      <c r="P96" s="313"/>
      <c r="Q96" s="313"/>
      <c r="R96" s="313"/>
      <c r="S96" s="313"/>
      <c r="T96" s="313"/>
      <c r="U96" s="313"/>
    </row>
    <row r="97" spans="10:21" x14ac:dyDescent="0.2">
      <c r="J97" s="314"/>
      <c r="K97" s="313"/>
      <c r="L97" s="313"/>
      <c r="M97" s="313"/>
      <c r="N97" s="313"/>
      <c r="O97" s="313"/>
      <c r="P97" s="313"/>
      <c r="Q97" s="313"/>
      <c r="R97" s="313"/>
      <c r="S97" s="313"/>
      <c r="T97" s="313"/>
      <c r="U97" s="313"/>
    </row>
  </sheetData>
  <protectedRanges>
    <protectedRange sqref="B43:B50 B54:B57 B59:B62 B64:B80" name="Modificar"/>
  </protectedRanges>
  <mergeCells count="4">
    <mergeCell ref="J42:M42"/>
    <mergeCell ref="J65:U65"/>
    <mergeCell ref="J71:M71"/>
    <mergeCell ref="J94:U94"/>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ESTRUCTURA</vt:lpstr>
      <vt:lpstr>RESPUESTAS</vt:lpstr>
      <vt:lpstr>RESULTADOS 1</vt:lpstr>
      <vt:lpstr>RESULTADOS 2</vt:lpstr>
      <vt:lpstr>COMPARATIVO</vt:lpstr>
      <vt:lpstr>P. ABIERTAS</vt:lpstr>
      <vt:lpstr>LISTADO DE FRECUENCIAS &amp; %</vt:lpstr>
      <vt:lpstr>RESULTADOS PREG ABIERTAS</vt:lpstr>
      <vt:lpstr>RPTAS GLOBALES SEDES</vt:lpstr>
      <vt:lpstr>Hoja1</vt:lpstr>
      <vt:lpstr>DimenRpta</vt:lpstr>
      <vt:lpstr>Dimensiones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Disco Local</dc:creator>
  <cp:lastModifiedBy>fssalirros (SALIRROSAS  REYES, STEPHANIE LISSETH)</cp:lastModifiedBy>
  <dcterms:created xsi:type="dcterms:W3CDTF">2021-05-12T16:36:00Z</dcterms:created>
  <dcterms:modified xsi:type="dcterms:W3CDTF">2025-04-15T19:11:12Z</dcterms:modified>
</cp:coreProperties>
</file>